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яснения" sheetId="1" state="visible" r:id="rId3"/>
    <sheet name="Сравнение" sheetId="2" state="visible" r:id="rId4"/>
    <sheet name="Исходные" sheetId="3" state="visible" r:id="rId5"/>
    <sheet name="Баланс" sheetId="4" state="visible" r:id="rId6"/>
    <sheet name="CAPEX_нормы" sheetId="5" state="visible" r:id="rId7"/>
    <sheet name="Сценарии" sheetId="6" state="visible" r:id="rId8"/>
    <sheet name="Расчёт_А" sheetId="7" state="visible" r:id="rId9"/>
    <sheet name="Расчёт_Б" sheetId="8" state="visible" r:id="rId10"/>
    <sheet name="Расчёт_В" sheetId="9" state="visible" r:id="rId11"/>
    <sheet name="Расчёт_Г" sheetId="10" state="visible" r:id="rId12"/>
    <sheet name="Расчёт_Наш" sheetId="11" state="visible" r:id="rId13"/>
    <sheet name="Расчёт_Наш_дебит" sheetId="12" state="visible" r:id="rId14"/>
    <sheet name="Расчёт_Наш_цены" sheetId="13" state="visible" r:id="rId15"/>
    <sheet name="Расчёт_Наш_безКр" sheetId="14" state="visible" r:id="rId16"/>
    <sheet name="Чувствительность" sheetId="15" state="visible" r:id="rId17"/>
    <sheet name="Источники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<sst xmlns="http://schemas.openxmlformats.org/spreadsheetml/2006/main" count="2356" uniqueCount="524">
  <si>
    <t xml:space="preserve">Расчётная модель ГКМ «Северное сияние» — версия 4 (25.10.2026)</t>
  </si>
  <si>
    <t xml:space="preserve">Кейс-чемпионат газовой отрасли. Все стоимостные показатели — реальные цены 2026 г., млрд руб. без НДС; горизонт 2027–2066 гг.</t>
  </si>
  <si>
    <t xml:space="preserve">Назначение</t>
  </si>
  <si>
    <t xml:space="preserve">Технико-экономическая оценка освоения ГКМ «Северное сияние» (НГЗ 320 млрд м³) и сравнение вариантов подготовки газа; выбор решения команды — НТС на ТДА + GTL-установка 40 тыс. т ДТ и 30 тыс. т авиакеросина в год для внутренних нужд кластера.</t>
  </si>
  <si>
    <t xml:space="preserve">Главный результат</t>
  </si>
  <si>
    <t xml:space="preserve">Структура</t>
  </si>
  <si>
    <t xml:space="preserve">«Исходные» — общие данные с источниками; «Баланс» — выход продуктов на 1000 м³ по технологиям; «CAPEX_нормы» — состав и график объектов; «Сценарии» — параметры вариантов; «Расчёт_…» — профиль добычи, продукция, выручка, налоги, CAPEX, FCF и NPV по годам; «Сравнение» — сводка; «Чувствительность» — как достигнута прибыльность, полки, торнадо, пороги; «Источники».</t>
  </si>
  <si>
    <t xml:space="preserve">Варианты</t>
  </si>
  <si>
    <t xml:space="preserve">А — НТС + стабилизация; Б — ТДА + ГФУ (СУГ); В — Б + этан; Г — НТС на ТДА без GTL; Наш выбор — Г + GTL 40+30. Стресс-сценарии нашего варианта: дебит 0,55; цены GTL команды 40 000 / 47 500; без льготы Кр.</t>
  </si>
  <si>
    <t xml:space="preserve">Что изменилось в v4</t>
  </si>
  <si>
    <t xml:space="preserve">GTL уменьшен до 40 + 30 тыс. т/год (внутренние нужды); скважина 1,5 млрд руб; ВЖК у УКПГ возвращён (4 млрд руб); горизонтальные скважины 0,75 млн м³/сут; полка 12 млрд м³/год; учтён Кр (п-ов Ямал) в НДПИ; продукты GTL оценены по трансфертной цене (80 % биржи без НДС).</t>
  </si>
  <si>
    <t xml:space="preserve">Как пользоваться</t>
  </si>
  <si>
    <t xml:space="preserve">Меняйте синие ячейки на листах «Исходные» и «Сценарии» — все расчёты пересчитываются формулами. Если меняете полку добычи, подберите темп падения (строка «Темп падения» на «Сценарии») так, чтобы проверка на листе расчёта (C11) была ≈ 0.</t>
  </si>
  <si>
    <t xml:space="preserve">Цвета</t>
  </si>
  <si>
    <t xml:space="preserve">Синий шрифт — ввод; чёрный — формулы; зелёный — ссылки на другие листы; жёлтая заливка — ключевые решения команды.</t>
  </si>
  <si>
    <t xml:space="preserve">Методика</t>
  </si>
  <si>
    <t xml:space="preserve">Реальные цены 2026 г. без НДС; дисконтирование на середину года к началу 2027 г.; амортизация линейная 15 лет; налог на имущество 2,2 % от остаточной стоимости; налог на прибыль 25 % без переноса убытков (консервативно).</t>
  </si>
  <si>
    <t xml:space="preserve">Ограничения</t>
  </si>
  <si>
    <t xml:space="preserve">Базовая часть НДПИ, OPEX и часть CAPEX — оценки команды; будут уточнены при дальнейших расчётах. Экспортный нетбэк для «Силы Сибири — 2» в модели не учитывается — газ продаётся в ЕСГ по цене ФАС.</t>
  </si>
  <si>
    <t xml:space="preserve">Сравнение вариантов и сценариев</t>
  </si>
  <si>
    <t xml:space="preserve">Все значения — формулы-ссылки на листы «Расчёт_…». Изменяйте параметры на листе «Сценарии».</t>
  </si>
  <si>
    <t xml:space="preserve">Показатель</t>
  </si>
  <si>
    <t xml:space="preserve">А. НТС + стабилизация</t>
  </si>
  <si>
    <t xml:space="preserve">Б. ТДА + ГФУ (СУГ)</t>
  </si>
  <si>
    <t xml:space="preserve">В. Б + этан</t>
  </si>
  <si>
    <t xml:space="preserve">Г. НТС на ТДА, без GTL</t>
  </si>
  <si>
    <t xml:space="preserve">Наш выбор: ТДА + GTL 40+30</t>
  </si>
  <si>
    <t xml:space="preserve">Наш выбор — дебит 0,55</t>
  </si>
  <si>
    <t xml:space="preserve">Наш выбор — цены ДТ/керосина 40 000/47 500</t>
  </si>
  <si>
    <t xml:space="preserve">Наш выбор — без коэффициента Кр</t>
  </si>
  <si>
    <t xml:space="preserve">ЧДД (NPV), млрд руб</t>
  </si>
  <si>
    <t xml:space="preserve">ВНД (IRR)</t>
  </si>
  <si>
    <t xml:space="preserve">Дисконтированная окупаемость, год</t>
  </si>
  <si>
    <t xml:space="preserve">Индекс доходности (PI)</t>
  </si>
  <si>
    <t xml:space="preserve">CAPEX всего, млрд руб</t>
  </si>
  <si>
    <t xml:space="preserve">Фонд скважин, шт.</t>
  </si>
  <si>
    <t xml:space="preserve">Добыча газа за период, млрд м³</t>
  </si>
  <si>
    <t xml:space="preserve">Товарный газ, млрд м³</t>
  </si>
  <si>
    <t xml:space="preserve">Конденсат + нафта, млн т</t>
  </si>
  <si>
    <t xml:space="preserve">СУГ, млн т</t>
  </si>
  <si>
    <t xml:space="preserve">ДТ GTL, млн т</t>
  </si>
  <si>
    <t xml:space="preserve">Керосин GTL, млн т</t>
  </si>
  <si>
    <t xml:space="preserve">Выручка, млрд руб</t>
  </si>
  <si>
    <t xml:space="preserve">НДПИ, млрд руб</t>
  </si>
  <si>
    <t xml:space="preserve">OPEX, млрд руб</t>
  </si>
  <si>
    <t xml:space="preserve">Налог на прибыль, млрд руб</t>
  </si>
  <si>
    <t xml:space="preserve">FCF недисконтированный, млрд руб</t>
  </si>
  <si>
    <t xml:space="preserve">Разница NPV с нашим базовым вариантом, млрд руб</t>
  </si>
  <si>
    <t xml:space="preserve">Вывод</t>
  </si>
  <si>
    <t xml:space="preserve">Исходные данные и допущения, общие для всех вариантов</t>
  </si>
  <si>
    <t xml:space="preserve">Синий шрифт — вводимые значения, чёрный — формулы, зелёный — ссылки. Источник и дата указаны для каждой строки.</t>
  </si>
  <si>
    <t xml:space="preserve">Параметр</t>
  </si>
  <si>
    <t xml:space="preserve">Значение</t>
  </si>
  <si>
    <t xml:space="preserve">Ед.</t>
  </si>
  <si>
    <t xml:space="preserve">Источник / обоснование</t>
  </si>
  <si>
    <t xml:space="preserve">Дата</t>
  </si>
  <si>
    <t xml:space="preserve">Начальные запасы газа (НГЗ)</t>
  </si>
  <si>
    <t xml:space="preserve">млрд м³</t>
  </si>
  <si>
    <t xml:space="preserve">Задание кейса</t>
  </si>
  <si>
    <t xml:space="preserve">2026</t>
  </si>
  <si>
    <t xml:space="preserve">Коэффициент извлечения газа (КИГ)</t>
  </si>
  <si>
    <t xml:space="preserve">д. ед.</t>
  </si>
  <si>
    <t xml:space="preserve">Извлекаемые запасы</t>
  </si>
  <si>
    <t xml:space="preserve">НГЗ × КИГ</t>
  </si>
  <si>
    <t xml:space="preserve">Первый год добычи</t>
  </si>
  <si>
    <t xml:space="preserve">год</t>
  </si>
  <si>
    <t xml:space="preserve">Допущение команды: 2027 — доразведка и ПД, 2028–2030 — строительство</t>
  </si>
  <si>
    <t xml:space="preserve">Отбор до начала падения добычи</t>
  </si>
  <si>
    <t xml:space="preserve">доля извл.</t>
  </si>
  <si>
    <t xml:space="preserve">Допущение: полка до отбора 56 % извлекаемых запасов (типично для ГКМ Ямала)</t>
  </si>
  <si>
    <t xml:space="preserve">Молярный объём газа</t>
  </si>
  <si>
    <t xml:space="preserve">м³/кмоль</t>
  </si>
  <si>
    <t xml:space="preserve">ГОСТ 2939-63: стандартные условия 20 °C, 101,325 кПа</t>
  </si>
  <si>
    <t xml:space="preserve">Базисная теплота сгорания для цены ФАС</t>
  </si>
  <si>
    <t xml:space="preserve">МДж/м³</t>
  </si>
  <si>
    <t xml:space="preserve">7900 ккал/м³ × 4,1868 — базис оптовых цен ФАС</t>
  </si>
  <si>
    <t xml:space="preserve">Оптовая цена газа, ЯНАО (база)</t>
  </si>
  <si>
    <t xml:space="preserve">руб/1000 м³</t>
  </si>
  <si>
    <t xml:space="preserve">Приказ ФАС № 1213/25: среднее мин./макс. для ЯНАО — https://pravo.ppt.ru/prikaz/fas/n-1213-25-326387</t>
  </si>
  <si>
    <t xml:space="preserve">2025</t>
  </si>
  <si>
    <t xml:space="preserve">Brent (база)</t>
  </si>
  <si>
    <t xml:space="preserve">$/барр.</t>
  </si>
  <si>
    <t xml:space="preserve">Котировки октября 2026 — https://index.minfin.com.ua/markets/oil/2026-10/</t>
  </si>
  <si>
    <t xml:space="preserve">10.2026</t>
  </si>
  <si>
    <t xml:space="preserve">Курс</t>
  </si>
  <si>
    <t xml:space="preserve">руб/$</t>
  </si>
  <si>
    <t xml:space="preserve">Допущение на уровне октября 2026</t>
  </si>
  <si>
    <t xml:space="preserve">Дисконт конденсата к Brent</t>
  </si>
  <si>
    <t xml:space="preserve">Допущение</t>
  </si>
  <si>
    <t xml:space="preserve">Баррелей в тонне конденсата</t>
  </si>
  <si>
    <t xml:space="preserve">барр./т</t>
  </si>
  <si>
    <t xml:space="preserve">Справочно для лёгкого конденсата</t>
  </si>
  <si>
    <t xml:space="preserve">Логистика конденсата до порта</t>
  </si>
  <si>
    <t xml:space="preserve">руб/т</t>
  </si>
  <si>
    <t xml:space="preserve">Допущение: конденсатопровод → ж/д Обская–Бованенково → Усть-Луга, перевалка</t>
  </si>
  <si>
    <t xml:space="preserve">Цена СУГ (нетбэк на промысле)</t>
  </si>
  <si>
    <t xml:space="preserve">Допущение (консервативно)</t>
  </si>
  <si>
    <t xml:space="preserve">Цена этана (нетбэк)</t>
  </si>
  <si>
    <t xml:space="preserve">Нет потребителя этана в регионе — 0</t>
  </si>
  <si>
    <t xml:space="preserve">Собственные нужды до ДКС</t>
  </si>
  <si>
    <t xml:space="preserve">доля</t>
  </si>
  <si>
    <t xml:space="preserve">Собственные нужды после ввода ДКС (с 2038 г.)</t>
  </si>
  <si>
    <t xml:space="preserve">НДПИ газ: показатель Ккг (Газпром)</t>
  </si>
  <si>
    <t xml:space="preserve">С 01.10.2026 — https://www.interfax.ru/business/1056714</t>
  </si>
  <si>
    <t xml:space="preserve">НДПИ газ: базовая часть (35×Еут×Кс + Тг) до Кр</t>
  </si>
  <si>
    <t xml:space="preserve">Оценка команды; будет уточнена при дальнейших расчётах</t>
  </si>
  <si>
    <t xml:space="preserve">НДПИ жидких УВ, доля от нетбэка (до Кр)</t>
  </si>
  <si>
    <t xml:space="preserve">Упрощённая оценка</t>
  </si>
  <si>
    <t xml:space="preserve">Кр (п-ов Ямал): коэффициент при n</t>
  </si>
  <si>
    <t xml:space="preserve">НК РФ ст. 342.4 п. 9: Кр = 0,066 × n + 0,144 на 144 налоговых периода — https://pravo.ppt.ru/kodeks/nk/st-342.4</t>
  </si>
  <si>
    <t xml:space="preserve">Кр (п-ов Ямал): свободный член</t>
  </si>
  <si>
    <t xml:space="preserve">То же</t>
  </si>
  <si>
    <t xml:space="preserve">Срок действия Кр</t>
  </si>
  <si>
    <t xml:space="preserve">лет</t>
  </si>
  <si>
    <t xml:space="preserve">144 месяца с года, когда выработанность впервые &gt; 1 %</t>
  </si>
  <si>
    <t xml:space="preserve">Порог выработанности для старта Кр</t>
  </si>
  <si>
    <t xml:space="preserve">доля НГЗ</t>
  </si>
  <si>
    <t xml:space="preserve">НК РФ ст. 342.4 п. 9</t>
  </si>
  <si>
    <t xml:space="preserve">Налог на прибыль</t>
  </si>
  <si>
    <t xml:space="preserve">НК РФ с 2025 г. — 25 %</t>
  </si>
  <si>
    <t xml:space="preserve">Налог на имущество</t>
  </si>
  <si>
    <t xml:space="preserve">доля/год</t>
  </si>
  <si>
    <t xml:space="preserve">Ставка 2,2 % от остаточной стоимости</t>
  </si>
  <si>
    <t xml:space="preserve">Срок амортизации</t>
  </si>
  <si>
    <t xml:space="preserve">Линейно, с года ввода (капвложения до 2031 г. — с 2031 г.)</t>
  </si>
  <si>
    <t xml:space="preserve">Постоянные OPEX</t>
  </si>
  <si>
    <t xml:space="preserve">доля накопл. CAPEX/год</t>
  </si>
  <si>
    <t xml:space="preserve">Допущение; включает содержание ВЖК у УКПГ</t>
  </si>
  <si>
    <t xml:space="preserve">Переменные OPEX</t>
  </si>
  <si>
    <t xml:space="preserve">руб/1000 м³ сырого газа</t>
  </si>
  <si>
    <t xml:space="preserve">OPEX по СУГ</t>
  </si>
  <si>
    <t xml:space="preserve">Тариф терминала / перевалки жидких УВ</t>
  </si>
  <si>
    <t xml:space="preserve">GTL: выход синтетических УВ</t>
  </si>
  <si>
    <t xml:space="preserve">т/1000 м³</t>
  </si>
  <si>
    <t xml:space="preserve">INFRA Technology: 390–440 кг на 1000 м³ — https://ru.infratechnology.ru/technology/</t>
  </si>
  <si>
    <t xml:space="preserve">GTL: доля ДТ + керосина в синтетических УВ</t>
  </si>
  <si>
    <t xml:space="preserve">Допущение; остаток — нафта, сдаётся с конденсатом</t>
  </si>
  <si>
    <t xml:space="preserve">GTL: выпуск ДТ</t>
  </si>
  <si>
    <t xml:space="preserve">тыс. т/год</t>
  </si>
  <si>
    <t xml:space="preserve">Решение команды (внутренние нужды кластера)</t>
  </si>
  <si>
    <t xml:space="preserve">25.10.2026</t>
  </si>
  <si>
    <t xml:space="preserve">GTL: выпуск авиакеросина</t>
  </si>
  <si>
    <t xml:space="preserve">GTL: OPEX</t>
  </si>
  <si>
    <t xml:space="preserve">руб/т синт. УВ</t>
  </si>
  <si>
    <t xml:space="preserve">INFRA: $35–65/т × 85 руб/$ (верх диапазона)</t>
  </si>
  <si>
    <t xml:space="preserve">GTL: первый год работы</t>
  </si>
  <si>
    <t xml:space="preserve">Строительство 2031–2032</t>
  </si>
  <si>
    <t xml:space="preserve">Биржевая цена зимнего ДТ (с НДС)</t>
  </si>
  <si>
    <t xml:space="preserve">Нефть и капитал, 22.10.2026 — https://oilcapital.ru/news/2026-10-22/minenergo-na-toplivnom-rynke-otmechen-rost-proizvodstva-nachali-formirovatsya-zapasy-5714138</t>
  </si>
  <si>
    <t xml:space="preserve">22.10.2026</t>
  </si>
  <si>
    <t xml:space="preserve">Цена авиакеросина (с НДС)</t>
  </si>
  <si>
    <t xml:space="preserve">Данные команды (биржевая цена в сентябре 2026 г. выше — 126 263 руб/т, The Moscow Times)</t>
  </si>
  <si>
    <t xml:space="preserve">НДС</t>
  </si>
  <si>
    <t xml:space="preserve">С 2026 г. — https://www.nalog.gov.ru/new2026/</t>
  </si>
  <si>
    <t xml:space="preserve">Трансфертная цена GTL, доля от биржи без НДС</t>
  </si>
  <si>
    <t xml:space="preserve">Решение команды: продукты идут на внутренние нужды и замещают закупку с доставкой; 20 % — запас на акциз и риски</t>
  </si>
  <si>
    <t xml:space="preserve">Трансфертная цена ДТ (расчётная)</t>
  </si>
  <si>
    <t xml:space="preserve">Формула: биржа / (1 + НДС) × доля</t>
  </si>
  <si>
    <t xml:space="preserve">Трансфертная цена керосина (расчётная)</t>
  </si>
  <si>
    <t xml:space="preserve">Формула: цена / (1 + НДС) × доля</t>
  </si>
  <si>
    <t xml:space="preserve">Материальный баланс на 1000 м³ сырого газа по технологиям</t>
  </si>
  <si>
    <t xml:space="preserve">Состав газа — задание кейса (сумма 99,95 % нормируется). Степени извлечения — допущения по типовым технологиям.</t>
  </si>
  <si>
    <t xml:space="preserve">Компонент</t>
  </si>
  <si>
    <t xml:space="preserve">Мол. %</t>
  </si>
  <si>
    <t xml:space="preserve">M, кг/кмоль</t>
  </si>
  <si>
    <t xml:space="preserve">Qн, МДж/м³</t>
  </si>
  <si>
    <t xml:space="preserve">Извл. A</t>
  </si>
  <si>
    <t xml:space="preserve">Извл. B</t>
  </si>
  <si>
    <t xml:space="preserve">Извл. T</t>
  </si>
  <si>
    <t xml:space="preserve">Извл. C</t>
  </si>
  <si>
    <t xml:space="preserve">C1</t>
  </si>
  <si>
    <t xml:space="preserve">C2</t>
  </si>
  <si>
    <t xml:space="preserve">C3</t>
  </si>
  <si>
    <t xml:space="preserve">iC4</t>
  </si>
  <si>
    <t xml:space="preserve">nC4</t>
  </si>
  <si>
    <t xml:space="preserve">C5+</t>
  </si>
  <si>
    <t xml:space="preserve">N2</t>
  </si>
  <si>
    <t xml:space="preserve">CO2</t>
  </si>
  <si>
    <t xml:space="preserve">Сумма</t>
  </si>
  <si>
    <t xml:space="preserve">Количество кмоль в 1000 м³</t>
  </si>
  <si>
    <t xml:space="preserve">Продукт, на 1000 м³ сырого газа</t>
  </si>
  <si>
    <t xml:space="preserve">A</t>
  </si>
  <si>
    <t xml:space="preserve">B</t>
  </si>
  <si>
    <t xml:space="preserve">T</t>
  </si>
  <si>
    <t xml:space="preserve">C</t>
  </si>
  <si>
    <t xml:space="preserve">Стабильный конденсат (C5+, для A и T — с частью C4)</t>
  </si>
  <si>
    <t xml:space="preserve">кг</t>
  </si>
  <si>
    <t xml:space="preserve">СПБТ (C3 + C4)</t>
  </si>
  <si>
    <t xml:space="preserve">Этан</t>
  </si>
  <si>
    <t xml:space="preserve">Товарный газ, объём</t>
  </si>
  <si>
    <t xml:space="preserve">м³</t>
  </si>
  <si>
    <t xml:space="preserve">Теплота сгорания товарного газа</t>
  </si>
  <si>
    <t xml:space="preserve">A — НТС (−30 °C) + стабилизация; B — ТДА (−60…−70 °C) + ГФУ (СУГ); T — НТС на ТДА (−35…−40 °C) + стабилизация (наш выбор); C — B + криогенное извлечение этана.</t>
  </si>
  <si>
    <t xml:space="preserve">Нормативы капитальных вложений (при полке 14 млрд м³/год) и график освоения</t>
  </si>
  <si>
    <t xml:space="preserve">Масштаб «да» — × (полка / 14)^0,7; «нет» — фиксированная сумма; «скв» — число скважин × стоимость скважины. Флаги показывают, в каких вариантах есть объект.</t>
  </si>
  <si>
    <t xml:space="preserve">Объект</t>
  </si>
  <si>
    <t xml:space="preserve">Сумма, млрд руб</t>
  </si>
  <si>
    <t xml:space="preserve">Масштаб</t>
  </si>
  <si>
    <t xml:space="preserve">T0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</si>
  <si>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</si>
  <si>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</si>
  <si>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</si>
  <si>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</si>
  <si>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</si>
  <si>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</si>
  <si>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</si>
  <si>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</si>
  <si>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</si>
  <si>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</si>
  <si>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</si>
  <si>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</si>
  <si>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</si>
  <si>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</si>
  <si>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</si>
  <si>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</si>
  <si>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</si>
  <si>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</si>
  <si>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</si>
  <si>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Σ долей</t>
  </si>
  <si>
    <t xml:space="preserve">Обоснование</t>
  </si>
  <si>
    <t xml:space="preserve">Доразведка, 3D, ТЭО и проектная документация</t>
  </si>
  <si>
    <t xml:space="preserve">нет</t>
  </si>
  <si>
    <t xml:space="preserve">Оценка команды: 3D-сейсмика, разведочные скважины, ТЭО, ПД</t>
  </si>
  <si>
    <t xml:space="preserve">Эксплуатационные скважины</t>
  </si>
  <si>
    <t xml:space="preserve">—</t>
  </si>
  <si>
    <t xml:space="preserve">скв</t>
  </si>
  <si>
    <t xml:space="preserve">Стоимость скважины — решение команды 1,5 млрд руб (лист «Сценарии»)</t>
  </si>
  <si>
    <t xml:space="preserve">Кусты скважин и газосборная сеть</t>
  </si>
  <si>
    <t xml:space="preserve">да</t>
  </si>
  <si>
    <t xml:space="preserve">50 млрд × 0,93 (снижение металлоёмкости эстакад — материалы кейса)</t>
  </si>
  <si>
    <t xml:space="preserve">УКПГ: НТС, регенерация метанола, стабилизация</t>
  </si>
  <si>
    <t xml:space="preserve">84 млрд × 0,93 (то же)</t>
  </si>
  <si>
    <t xml:space="preserve">Турбодетандерные агрегаты (5 шт.)</t>
  </si>
  <si>
    <t xml:space="preserve">5 ТДА (4 раб. + 1 рез.) по 8,4 млн м³/сут — оценка</t>
  </si>
  <si>
    <t xml:space="preserve">ТДА + деэтанизация + ГФУ + парк СУГ</t>
  </si>
  <si>
    <t xml:space="preserve">Оценка для варианта B</t>
  </si>
  <si>
    <t xml:space="preserve">Продуктопровод СУГ 120 км</t>
  </si>
  <si>
    <t xml:space="preserve">Оценка для вариантов B, C</t>
  </si>
  <si>
    <t xml:space="preserve">Налив СУГ на ж/д</t>
  </si>
  <si>
    <t xml:space="preserve">Пропановая холодильная установка</t>
  </si>
  <si>
    <t xml:space="preserve">Оценка: поддержание −60 °C при падении давления</t>
  </si>
  <si>
    <t xml:space="preserve">Криогенный блок извлечения этана</t>
  </si>
  <si>
    <t xml:space="preserve">Оценка для варианта C</t>
  </si>
  <si>
    <t xml:space="preserve">Энергоцентр (ЭСН), промбаза</t>
  </si>
  <si>
    <t xml:space="preserve">Оценка; ВЖК вынесен отдельной строкой</t>
  </si>
  <si>
    <t xml:space="preserve">Вахтовый жилой комплекс у УКПГ</t>
  </si>
  <si>
    <t xml:space="preserve">Оценка ≈20 млн руб/место × 200 мест (аналог: ВЖК Семаковского, 200 мест — https://neftegas.info/news/article/20669)</t>
  </si>
  <si>
    <t xml:space="preserve">Автодорога до Бованенково 120 км</t>
  </si>
  <si>
    <t xml:space="preserve">120 км × 0,20 млрд руб/км (ЯНАО: $2,4–2,5 млн/км — goarctic.ru, Минтранс)</t>
  </si>
  <si>
    <t xml:space="preserve">Газопровод 120 км до Бованенково</t>
  </si>
  <si>
    <t xml:space="preserve">Оценка 120 км до врезки в «Бованенково — Ухта»</t>
  </si>
  <si>
    <t xml:space="preserve">Конденсатопровод 120 км</t>
  </si>
  <si>
    <t xml:space="preserve">Оценка 120 км до ст. Бованенково</t>
  </si>
  <si>
    <t xml:space="preserve">ДКС (2 очереди)</t>
  </si>
  <si>
    <t xml:space="preserve">Оценка, 2 очереди</t>
  </si>
  <si>
    <t xml:space="preserve">GTL-установка у ст. Бованенково + налив</t>
  </si>
  <si>
    <t xml:space="preserve">76,5 тыс. т/год синт. УВ × $1500 за т/год × 85 руб/$ ≈ 9,75 + налив и резервуары ≈ 1,0 (INFRA)</t>
  </si>
  <si>
    <t xml:space="preserve">Суммы для ВЖК, автодороги и GTL задаются на листе «Сценарии» (меняются по вариантам).</t>
  </si>
  <si>
    <t xml:space="preserve">Параметры вариантов и сценариев</t>
  </si>
  <si>
    <t xml:space="preserve">Каждый столбец управляет своим листом «Расчёт_…». Жёлтым выделены ключевые решения команды.</t>
  </si>
  <si>
    <t xml:space="preserve">Технология подготовки (столбец баланса)</t>
  </si>
  <si>
    <t xml:space="preserve">код</t>
  </si>
  <si>
    <t xml:space="preserve">Состав объектов CAPEX (флаг на листе «CAPEX_нормы»)</t>
  </si>
  <si>
    <t xml:space="preserve">GTL-установка (1 — есть)</t>
  </si>
  <si>
    <t xml:space="preserve">0/1</t>
  </si>
  <si>
    <t xml:space="preserve">Полка добычи</t>
  </si>
  <si>
    <t xml:space="preserve">млрд м³/год</t>
  </si>
  <si>
    <t xml:space="preserve">Темп падения после полки (подобран: Σ добычи = извлекаемые)</t>
  </si>
  <si>
    <t xml:space="preserve">1/год</t>
  </si>
  <si>
    <t xml:space="preserve">Стоимость скважины</t>
  </si>
  <si>
    <t xml:space="preserve">млрд руб</t>
  </si>
  <si>
    <t xml:space="preserve">Дебит скважины</t>
  </si>
  <si>
    <t xml:space="preserve">млн м³/сут</t>
  </si>
  <si>
    <t xml:space="preserve">Применять Кр (п-ов Ямал) в НДПИ (1 — да)</t>
  </si>
  <si>
    <t xml:space="preserve">Цена ДТ GTL</t>
  </si>
  <si>
    <t xml:space="preserve">Цена авиакеросина GTL</t>
  </si>
  <si>
    <t xml:space="preserve">Оптовая цена газа (7900 ккал/м³)</t>
  </si>
  <si>
    <t xml:space="preserve">Brent</t>
  </si>
  <si>
    <t xml:space="preserve">Ставка дисконтирования (реальная)</t>
  </si>
  <si>
    <t xml:space="preserve">Множитель CAPEX</t>
  </si>
  <si>
    <t xml:space="preserve">x</t>
  </si>
  <si>
    <t xml:space="preserve">Множитель добычи</t>
  </si>
  <si>
    <t xml:space="preserve">ВЖК у УКПГ</t>
  </si>
  <si>
    <t xml:space="preserve">Автодорога 120 км</t>
  </si>
  <si>
    <t xml:space="preserve">GTL-установка + налив</t>
  </si>
  <si>
    <t xml:space="preserve">Услуги чужого ВЖК (проживание, транспорт)</t>
  </si>
  <si>
    <t xml:space="preserve">млрд руб/год</t>
  </si>
  <si>
    <t xml:space="preserve">Описание</t>
  </si>
  <si>
    <t xml:space="preserve">Базовая технология без ТДА и без GTL</t>
  </si>
  <si>
    <t xml:space="preserve">Глубокое извлечение C3+, СУГ по ж/д</t>
  </si>
  <si>
    <t xml:space="preserve">Криогенное извлечение этана, потребителя нет</t>
  </si>
  <si>
    <t xml:space="preserve">Наша технология подготовки без GTL</t>
  </si>
  <si>
    <t xml:space="preserve">Базовый вариант решения команды</t>
  </si>
  <si>
    <t xml:space="preserve">Стресс: дебит как у наклонных скважин</t>
  </si>
  <si>
    <t xml:space="preserve">Цены продукции GTL по оценке команды</t>
  </si>
  <si>
    <t xml:space="preserve">Без льготы НДПИ для п-ова Ямал</t>
  </si>
  <si>
    <t xml:space="preserve">Темп падения подбирается так, чтобы суммарная добыча за 2031–2066 гг. равнялась извлекаемым запасам (проверка — на каждом листе «Расчёт», ячейка C11). При изменении полки подберите темп через «Подбор параметра».</t>
  </si>
  <si>
    <t xml:space="preserve">Расчёт: А. НТС + стабилизация</t>
  </si>
  <si>
    <t xml:space="preserve">Базовая технология без ТДА и без GTL. Денежный поток по годам, млрд руб. (реальные цены 2026 г.)</t>
  </si>
  <si>
    <t xml:space="preserve">ЧДД (NPV) при ставке варианта, млрд руб</t>
  </si>
  <si>
    <t xml:space="preserve">ВНД (IRR), реальная</t>
  </si>
  <si>
    <t xml:space="preserve">Проверка: Σ профиля − извлекаемые (должно быть ≈ 0), млрд м³</t>
  </si>
  <si>
    <t xml:space="preserve">Итого / знач.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</si>
  <si>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</si>
  <si>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</si>
  <si>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</si>
  <si>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</si>
  <si>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</si>
  <si>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</si>
  <si>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</si>
  <si>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</si>
  <si>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</si>
  <si>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</si>
  <si>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</si>
  <si>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</si>
  <si>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</si>
  <si>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</si>
  <si>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</si>
  <si>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</si>
  <si>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</si>
  <si>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</si>
  <si>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</si>
  <si>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</si>
  <si>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</si>
  <si>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Параметры варианта (ссылки на «Сценарии» и «Исходные»)</t>
  </si>
  <si>
    <t xml:space="preserve">Технология (столбец баланса)</t>
  </si>
  <si>
    <t xml:space="preserve">Состав CAPEX</t>
  </si>
  <si>
    <t xml:space="preserve">GTL (1 — есть)</t>
  </si>
  <si>
    <t xml:space="preserve">Темп падения</t>
  </si>
  <si>
    <t xml:space="preserve">Кр (п-ов Ямал) в НДПИ</t>
  </si>
  <si>
    <t xml:space="preserve">Цена керосина GTL</t>
  </si>
  <si>
    <t xml:space="preserve">Цена газа</t>
  </si>
  <si>
    <t xml:space="preserve">Ставка дисконтирования</t>
  </si>
  <si>
    <t xml:space="preserve">Автодорога</t>
  </si>
  <si>
    <t xml:space="preserve">GTL + налив</t>
  </si>
  <si>
    <t xml:space="preserve">Услуги чужого ВЖК</t>
  </si>
  <si>
    <t xml:space="preserve">Выход конденсата</t>
  </si>
  <si>
    <t xml:space="preserve">кг/1000 м³</t>
  </si>
  <si>
    <t xml:space="preserve">Выход СУГ</t>
  </si>
  <si>
    <t xml:space="preserve">Выход этана</t>
  </si>
  <si>
    <t xml:space="preserve">Товарный газ</t>
  </si>
  <si>
    <t xml:space="preserve">м³/1000 м³</t>
  </si>
  <si>
    <t xml:space="preserve">Цена товарного газа с учётом теплоты</t>
  </si>
  <si>
    <t xml:space="preserve">Нетбэк конденсата на промысле</t>
  </si>
  <si>
    <t xml:space="preserve">Коэффициент масштаба объектов (полка/14)^0,7</t>
  </si>
  <si>
    <t xml:space="preserve">Фонд эксплуатационных скважин</t>
  </si>
  <si>
    <t xml:space="preserve">шт.</t>
  </si>
  <si>
    <t xml:space="preserve">GTL: синтетические УВ</t>
  </si>
  <si>
    <t xml:space="preserve">млн т/год</t>
  </si>
  <si>
    <t xml:space="preserve">GTL: газ на установку</t>
  </si>
  <si>
    <t xml:space="preserve">Добыча и продукция</t>
  </si>
  <si>
    <t xml:space="preserve">Год</t>
  </si>
  <si>
    <t xml:space="preserve">Номер года от начала (для дисконтирования)</t>
  </si>
  <si>
    <t xml:space="preserve">Признак падения добычи</t>
  </si>
  <si>
    <t xml:space="preserve">Год падения, порядковый</t>
  </si>
  <si>
    <t xml:space="preserve">Профиль добычи (до множителя)</t>
  </si>
  <si>
    <t xml:space="preserve">Накопленный профиль</t>
  </si>
  <si>
    <t xml:space="preserve">Добыча сырого газа</t>
  </si>
  <si>
    <t xml:space="preserve">Накопленная добыча</t>
  </si>
  <si>
    <t xml:space="preserve">Выработанность &gt; 1 % НГЗ (старт Кр)</t>
  </si>
  <si>
    <t xml:space="preserve">n для Кр (порядковый год)</t>
  </si>
  <si>
    <t xml:space="preserve">Коэффициент Кр</t>
  </si>
  <si>
    <t xml:space="preserve">Собственные нужды</t>
  </si>
  <si>
    <t xml:space="preserve">Газ на подготовку</t>
  </si>
  <si>
    <t xml:space="preserve">Газ на GTL</t>
  </si>
  <si>
    <t xml:space="preserve">Товарный газ в ЕСГ</t>
  </si>
  <si>
    <t xml:space="preserve">Стабильный конденсат</t>
  </si>
  <si>
    <t xml:space="preserve">млн т</t>
  </si>
  <si>
    <t xml:space="preserve">СУГ</t>
  </si>
  <si>
    <t xml:space="preserve">Синтетическое ДТ</t>
  </si>
  <si>
    <t xml:space="preserve">Синтетический авиакеросин</t>
  </si>
  <si>
    <t xml:space="preserve">Нафта GTL (сдаётся с конденсатом)</t>
  </si>
  <si>
    <t xml:space="preserve">Выручка, налоги, затраты, млрд руб</t>
  </si>
  <si>
    <t xml:space="preserve">Выручка: газ</t>
  </si>
  <si>
    <t xml:space="preserve">Выручка: конденсат и нафта</t>
  </si>
  <si>
    <t xml:space="preserve">Выручка: СУГ и этан</t>
  </si>
  <si>
    <t xml:space="preserve">Выручка: ДТ GTL</t>
  </si>
  <si>
    <t xml:space="preserve">Выручка: керосин GTL</t>
  </si>
  <si>
    <t xml:space="preserve">Выручка всего</t>
  </si>
  <si>
    <t xml:space="preserve">НДПИ (газ + жидкие УВ, с Кр)</t>
  </si>
  <si>
    <t xml:space="preserve">Капитальные вложения, млрд руб</t>
  </si>
  <si>
    <t xml:space="preserve">  Доразведка, 3D, ТЭО и проектная документация</t>
  </si>
  <si>
    <t xml:space="preserve">  Эксплуатационные скважины</t>
  </si>
  <si>
    <t xml:space="preserve">  Кусты скважин и газосборная сеть</t>
  </si>
  <si>
    <t xml:space="preserve">  УКПГ: НТС, регенерация метанола, стабилизация</t>
  </si>
  <si>
    <t xml:space="preserve">  Турбодетандерные агрегаты (5 шт.)</t>
  </si>
  <si>
    <t xml:space="preserve">  ТДА + деэтанизация + ГФУ + парк СУГ</t>
  </si>
  <si>
    <t xml:space="preserve">  Продуктопровод СУГ 120 км</t>
  </si>
  <si>
    <t xml:space="preserve">  Налив СУГ на ж/д</t>
  </si>
  <si>
    <t xml:space="preserve">  Пропановая холодильная установка</t>
  </si>
  <si>
    <t xml:space="preserve">  Криогенный блок извлечения этана</t>
  </si>
  <si>
    <t xml:space="preserve">  Энергоцентр (ЭСН), промбаза</t>
  </si>
  <si>
    <t xml:space="preserve">  Вахтовый жилой комплекс у УКПГ</t>
  </si>
  <si>
    <t xml:space="preserve">  Автодорога до Бованенково 120 км</t>
  </si>
  <si>
    <t xml:space="preserve">  Газопровод 120 км до Бованенково</t>
  </si>
  <si>
    <t xml:space="preserve">  Конденсатопровод 120 км</t>
  </si>
  <si>
    <t xml:space="preserve">  ДКС (2 очереди)</t>
  </si>
  <si>
    <t xml:space="preserve">  GTL-установка у ст. Бованенково + налив</t>
  </si>
  <si>
    <t xml:space="preserve">CAPEX всего</t>
  </si>
  <si>
    <t xml:space="preserve">Накопленный CAPEX</t>
  </si>
  <si>
    <t xml:space="preserve">Операционные затраты, амортизация, налоги, млрд руб</t>
  </si>
  <si>
    <t xml:space="preserve">Признак добычи</t>
  </si>
  <si>
    <t xml:space="preserve">OPEX (пост. + перем. + СУГ + терминал + GTL + чужой ВЖК)</t>
  </si>
  <si>
    <t xml:space="preserve">Ввод основных средств</t>
  </si>
  <si>
    <t xml:space="preserve">Амортизация</t>
  </si>
  <si>
    <t xml:space="preserve">Накопленная амортизация</t>
  </si>
  <si>
    <t xml:space="preserve">EBITDA</t>
  </si>
  <si>
    <t xml:space="preserve">Денежный поток и эффективность</t>
  </si>
  <si>
    <t xml:space="preserve">Свободный денежный поток (FCF)</t>
  </si>
  <si>
    <t xml:space="preserve">Коэффициент дисконтирования (середина года)</t>
  </si>
  <si>
    <t xml:space="preserve">Дисконтированный FCF</t>
  </si>
  <si>
    <t xml:space="preserve">Накопленный дисконтированный FCF</t>
  </si>
  <si>
    <t xml:space="preserve">Признак окупаемости (дисконт.)</t>
  </si>
  <si>
    <t xml:space="preserve">Расчёт: Б. ТДА + ГФУ (СУГ)</t>
  </si>
  <si>
    <t xml:space="preserve">Глубокое извлечение C3+, СУГ по ж/д. Денежный поток по годам, млрд руб. (реальные цены 2026 г.)</t>
  </si>
  <si>
    <t xml:space="preserve">Расчёт: В. Б + этан</t>
  </si>
  <si>
    <t xml:space="preserve">Криогенное извлечение этана, потребителя нет. Денежный поток по годам, млрд руб. (реальные цены 2026 г.)</t>
  </si>
  <si>
    <t xml:space="preserve">Расчёт: Г. НТС на ТДА, без GTL</t>
  </si>
  <si>
    <t xml:space="preserve">Наша технология подготовки без GTL. Денежный поток по годам, млрд руб. (реальные цены 2026 г.)</t>
  </si>
  <si>
    <t xml:space="preserve">Расчёт: Наш выбор: ТДА + GTL 40+30</t>
  </si>
  <si>
    <t xml:space="preserve">Базовый вариант решения команды. Денежный поток по годам, млрд руб. (реальные цены 2026 г.)</t>
  </si>
  <si>
    <t xml:space="preserve">Расчёт: Наш выбор — дебит 0,55</t>
  </si>
  <si>
    <t xml:space="preserve">Стресс: дебит как у наклонных скважин. Денежный поток по годам, млрд руб. (реальные цены 2026 г.)</t>
  </si>
  <si>
    <t xml:space="preserve">Расчёт: Наш выбор — цены ДТ/керосина 40 000/47 500</t>
  </si>
  <si>
    <t xml:space="preserve">Цены продукции GTL по оценке команды. Денежный поток по годам, млрд руб. (реальные цены 2026 г.)</t>
  </si>
  <si>
    <t xml:space="preserve">Расчёт: Наш выбор — без коэффициента Кр</t>
  </si>
  <si>
    <t xml:space="preserve">Без льготы НДПИ для п-ова Ямал. Денежный поток по годам, млрд руб. (реальные цены 2026 г.)</t>
  </si>
  <si>
    <t xml:space="preserve">Как проект стал прибыльным, чувствительность и точки безубыточности</t>
  </si>
  <si>
    <t xml:space="preserve">Снимок результатов многовариантного пересчёта той же модели (Python-копия формул листа «Расчёт_Наш»). При изменении исходных данных пересчитайте.</t>
  </si>
  <si>
    <t xml:space="preserve">Шаг</t>
  </si>
  <si>
    <t xml:space="preserve">Эффект на NPV</t>
  </si>
  <si>
    <t xml:space="preserve">NPV после шага</t>
  </si>
  <si>
    <t xml:space="preserve">Комментарий</t>
  </si>
  <si>
    <t xml:space="preserve">Решение v3 (25.10.2026): GTL 90+60 тыс. т, скв. 1,95 млрд, без ВЖК, полка 8</t>
  </si>
  <si>
    <t xml:space="preserve">Исходная точка — расчёт предыдущей версии</t>
  </si>
  <si>
    <t xml:space="preserve">GTL 40 тыс. т ДТ + 30 тыс. т керосина (внутренние нужды)</t>
  </si>
  <si>
    <t xml:space="preserve">CAPEX GTL 23 → 10,75 млрд руб</t>
  </si>
  <si>
    <t xml:space="preserve">Стоимость скважины 1,5 млрд руб</t>
  </si>
  <si>
    <t xml:space="preserve">Решение команды</t>
  </si>
  <si>
    <t xml:space="preserve">Свой ВЖК у УКПГ вместо услуг ВЖК Бованенково</t>
  </si>
  <si>
    <t xml:space="preserve">CAPEX +4 млрд, минус 0,25 млрд/год услуг</t>
  </si>
  <si>
    <t xml:space="preserve">Горизонтальные скважины, дебит 0,75 млн м³/сут</t>
  </si>
  <si>
    <t xml:space="preserve">Харасавэй: испытания до 1,2 млн м³/сут; Юрхаровское: 1,6 вместо 0,8 млн м³/сут</t>
  </si>
  <si>
    <t xml:space="preserve">Полка 12 млрд м³/год (оптимум при новых затратах)</t>
  </si>
  <si>
    <t xml:space="preserve">См. таблицу полок ниже</t>
  </si>
  <si>
    <t xml:space="preserve">Коэффициент Кр в НДПИ (п-ов Ямал)</t>
  </si>
  <si>
    <t xml:space="preserve">Трансфертная цена GTL = 80 % биржи без НДС</t>
  </si>
  <si>
    <t xml:space="preserve">ДТ 56 100, керосин 64 500 руб/т вместо 40 000 / 47 500</t>
  </si>
  <si>
    <t xml:space="preserve">Итог: наш вариант v4</t>
  </si>
  <si>
    <t xml:space="preserve">Выбор полки добычи (наш вариант, прочие параметры базовые)</t>
  </si>
  <si>
    <t xml:space="preserve">Полка, млрд м³/год</t>
  </si>
  <si>
    <t xml:space="preserve">NPV, млрд руб</t>
  </si>
  <si>
    <t xml:space="preserve">IRR</t>
  </si>
  <si>
    <t xml:space="preserve">CAPEX, млрд руб / скважин</t>
  </si>
  <si>
    <t xml:space="preserve">279 / 38</t>
  </si>
  <si>
    <t xml:space="preserve">300 / 43</t>
  </si>
  <si>
    <t xml:space="preserve">321 / 48</t>
  </si>
  <si>
    <t xml:space="preserve">342 / 52</t>
  </si>
  <si>
    <t xml:space="preserve">362 / 57</t>
  </si>
  <si>
    <t xml:space="preserve">382 / 62</t>
  </si>
  <si>
    <t xml:space="preserve">402 / 67</t>
  </si>
  <si>
    <t xml:space="preserve">Полка 12 выбрана: NPV практически равен максимуму (13 млрд м³), но CAPEX на 20 млрд руб меньше и отбор 3,75 % НГЗ в год соответствует практике Ямала.</t>
  </si>
  <si>
    <t xml:space="preserve">Чувствительность NPV нашего варианта (каждый фактор отдельно)</t>
  </si>
  <si>
    <t xml:space="preserve">Фактор</t>
  </si>
  <si>
    <t xml:space="preserve">NPV, хуже</t>
  </si>
  <si>
    <t xml:space="preserve">NPV, лучше</t>
  </si>
  <si>
    <t xml:space="preserve">Диапазон</t>
  </si>
  <si>
    <t xml:space="preserve">Цена газа −20 % / +20 %</t>
  </si>
  <si>
    <t xml:space="preserve">CAPEX +20 % / −20 %</t>
  </si>
  <si>
    <t xml:space="preserve">Дебит 0,55 / 0,95 млн м³/сут</t>
  </si>
  <si>
    <t xml:space="preserve">Ставка 12 % / 8 %</t>
  </si>
  <si>
    <t xml:space="preserve">Добыча −10 % / +10 %</t>
  </si>
  <si>
    <t xml:space="preserve">Скважина 1,8 / 1,2 млрд руб</t>
  </si>
  <si>
    <t xml:space="preserve">Brent 50 / 80 $/барр.</t>
  </si>
  <si>
    <t xml:space="preserve">Цены ДТ и керосина −20 % / +20 %</t>
  </si>
  <si>
    <t xml:space="preserve">Точки безубыточности (NPV = 0), наш вариант</t>
  </si>
  <si>
    <t xml:space="preserve">Порог</t>
  </si>
  <si>
    <t xml:space="preserve">База</t>
  </si>
  <si>
    <t xml:space="preserve">Запас</t>
  </si>
  <si>
    <t xml:space="preserve">Цена газа, руб/1000 м³</t>
  </si>
  <si>
    <t xml:space="preserve">Дебит скважины, млн м³/сут</t>
  </si>
  <si>
    <t xml:space="preserve">Стоимость скважины, млрд руб</t>
  </si>
  <si>
    <t xml:space="preserve">Ставка дисконтирования (= IRR)</t>
  </si>
  <si>
    <t xml:space="preserve">Brent, $/барр.</t>
  </si>
  <si>
    <t xml:space="preserve">Эффект GTL 40+30 (наш вариант минус вариант Г без GTL), млрд руб</t>
  </si>
  <si>
    <t xml:space="preserve">Эффект GTL при ценах команды 40 000 / 47 500, млрд руб</t>
  </si>
  <si>
    <t xml:space="preserve">Источники данных</t>
  </si>
  <si>
    <t xml:space="preserve">Дата обращения — 24–25.10.2026, если не указано иное.</t>
  </si>
  <si>
    <t xml:space="preserve">Что взято</t>
  </si>
  <si>
    <t xml:space="preserve">Ссылка</t>
  </si>
  <si>
    <t xml:space="preserve">Оптовые цены на газ, ЯНАО (приказ ФАС № 1213/25)</t>
  </si>
  <si>
    <t xml:space="preserve">https://pravo.ppt.ru/prikaz/fas/n-1213-25-326387</t>
  </si>
  <si>
    <t xml:space="preserve">Ккг = 494 руб/1000 м³ для Газпрома с 01.10.2026</t>
  </si>
  <si>
    <t xml:space="preserve">https://www.interfax.ru/business/1056714</t>
  </si>
  <si>
    <t xml:space="preserve">НК РФ ст. 342.4: Кр для п-ова Ямал, Кгз</t>
  </si>
  <si>
    <t xml:space="preserve">https://pravo.ppt.ru/kodeks/nk/st-342.4</t>
  </si>
  <si>
    <t xml:space="preserve">Биржевая цена зимнего ДТ 85 485 руб/т (22.10.2026)</t>
  </si>
  <si>
    <t xml:space="preserve">https://oilcapital.ru/news/2026-10-22/minenergo-na-toplivnom-rynke-otmechen-rost-proizvodstva-nachali-formirovatsya-zapasy-5714138</t>
  </si>
  <si>
    <t xml:space="preserve">Авиакеросин: биржа 126 263 руб/т, демпфер (сентябрь 2026)</t>
  </si>
  <si>
    <t xml:space="preserve">https://ru.themoscowtimes.com/2026/10/06/dempfer-dlya-aviakerosina-v-rf-vyros-v-15-raza-v-senavg-raschyot-reyter-a207929</t>
  </si>
  <si>
    <t xml:space="preserve">Завоз топлива в ЯНАО 2025 г. — 89,5 тыс. т</t>
  </si>
  <si>
    <t xml:space="preserve">https://sever-press.ru/narrative/intervju/tsentralizovannyj-zavoz-topliva-2025-skolko-i-kogda-dostavjat-v-otdalennye-poselki-janao-v-navigatsiju/</t>
  </si>
  <si>
    <t xml:space="preserve">GTL: выход 390–440 кг/1000 м³, CAPEX и OPEX модулей</t>
  </si>
  <si>
    <t xml:space="preserve">https://ru.infratechnology.ru/technology/</t>
  </si>
  <si>
    <t xml:space="preserve">НДС 22 % с 2026 г.</t>
  </si>
  <si>
    <t xml:space="preserve">https://www.nalog.gov.ru/new2026/</t>
  </si>
  <si>
    <t xml:space="preserve">Brent, октябрь 2026</t>
  </si>
  <si>
    <t xml:space="preserve">https://index.minfin.com.ua/markets/oil/2026-10/</t>
  </si>
  <si>
    <t xml:space="preserve">Харасавэйское ГКМ: дебиты при испытании до 1 204 тыс. м³/сут</t>
  </si>
  <si>
    <t xml:space="preserve">http://elibrary.sgu.ru/VKR/2020/21-05-02_006.pdf</t>
  </si>
  <si>
    <t xml:space="preserve">Харасавэйское ГКМ: свободный дебит первооткрывательницы 1 722 тыс. м³/сут</t>
  </si>
  <si>
    <t xml:space="preserve">https://rosmineral.com/projects/gazovye-mestorozhdeniya/orenburgskoe-gazokondensatnoe-mestorozhdenie/</t>
  </si>
  <si>
    <t xml:space="preserve">Юрхаровское: горизонтальные скважины 1,6 млн м³/сут вместо 0,8 проектных</t>
  </si>
  <si>
    <t xml:space="preserve">https://vsluh.ru/novosti/tek/mal-novatek-da-dorog_44791/</t>
  </si>
  <si>
    <t xml:space="preserve">ВЖК Семаковского месторождения на 200 мест (аналог)</t>
  </si>
  <si>
    <t xml:space="preserve">https://neftegas.info/news/article/20669</t>
  </si>
  <si>
    <t xml:space="preserve">Стоимость автодорог в ЯНАО</t>
  </si>
  <si>
    <t xml:space="preserve">https://goarctic.ru/kultura/uchenye-gotovyatsya-k-potepleniyu-izuchayut-iskusstvennuyu-zamorozku-grunta-chtoby-prodlit-rabotu-av/</t>
  </si>
  <si>
    <t xml:space="preserve">Минтранс: дорожное строительство</t>
  </si>
  <si>
    <t xml:space="preserve">https://mintrans.gov.ru/file/535766</t>
  </si>
  <si>
    <t xml:space="preserve">Газопровод «Бованенково — Ухта»</t>
  </si>
  <si>
    <t xml:space="preserve">https://energybase.ru/pipeline/bovanenkovo-ukhta</t>
  </si>
  <si>
    <t xml:space="preserve">ЖД Обская — Бованенково, вывоз УВ</t>
  </si>
  <si>
    <t xml:space="preserve">https://www.npktrans.ru/media/novosti/yamaltransstroi-rasshirit-zhd-liniyu-dlya-vyvoza-uglevodorodov-s-bovanenkovskogo-mestorozhdeniya-k-portu-ust-luga/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</si>
</sst>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;\(#,##0.00\);\-"/>
    <numFmt numFmtId="166" formatCode="0.00%"/>
    <numFmt numFmtId="167" formatCode="0"/>
    <numFmt numFmtId="168" formatCode="0.000"/>
    <numFmt numFmtId="169" formatCode="#,##0.0;\(#,##0.0\);\-"/>
    <numFmt numFmtId="170" formatCode="#,##0.###"/>
    <numFmt numFmtId="171" formatCode="#,##0.000;\(#,##0.000\);\-"/>
    <numFmt numFmtId="172" formatCode="0.00"/>
    <numFmt numFmtId="173" formatCode="0.0%;\-0.0%;\-"/>
    <numFmt numFmtId="174" formatCode="0.0%"/>
    <numFmt numFmtId="175" formatCode="#,##0.##"/>
    <numFmt numFmtId="176" formatCode="0.0000"/>
    <numFmt numFmtId="177" formatCode="@"/>
    <numFmt numFmtId="178" formatCode="#,##0;\(#,##0\);\-"/>
    <numFmt numFmtId="179" formatCode="\+0%;\-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ЧДД по вариантам, млрд руб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Сравнение!$C$5:$J$5</c:f>
              <c:strCache>
                <c:ptCount val="8"/>
                <c:pt idx="0">
                  <c:v>А. НТС + стабилизация</c:v>
                </c:pt>
                <c:pt idx="1">
                  <c:v>Б. ТДА + ГФУ (СУГ)</c:v>
                </c:pt>
                <c:pt idx="2">
                  <c:v>В. Б + этан</c:v>
                </c:pt>
                <c:pt idx="3">
                  <c:v>Г. НТС на ТДА, без GTL</c:v>
                </c:pt>
                <c:pt idx="4">
                  <c:v>Наш выбор: ТДА + GTL 40+30</c:v>
                </c:pt>
                <c:pt idx="5">
                  <c:v>Наш выбор — дебит 0,55</c:v>
                </c:pt>
                <c:pt idx="6">
                  <c:v>Наш выбор — цены ДТ/керосина 40 000/47 500</c:v>
                </c:pt>
                <c:pt idx="7">
                  <c:v>Наш выбор — без коэффициента Кр</c:v>
                </c:pt>
              </c:strCache>
            </c:strRef>
          </c:cat>
          <c:val>
            <c:numRef>
              <c:f>Сравнение!$C$6:$J$6</c:f>
              <c:numCache>
                <c:formatCode>#,##0.00;\(#,##0.00\);\-</c:formatCode>
                <c:ptCount val="8"/>
                <c:pt idx="0">
                  <c:v>15.105131949982</c:v>
                </c:pt>
                <c:pt idx="1">
                  <c:v>-9.37973474041574</c:v>
                </c:pt>
                <c:pt idx="2">
                  <c:v>-75.2597325028052</c:v>
                </c:pt>
                <c:pt idx="3">
                  <c:v>16.893082825978</c:v>
                </c:pt>
                <c:pt idx="4">
                  <c:v>22.5117962619646</c:v>
                </c:pt>
                <c:pt idx="5">
                  <c:v>-1.55177926963406</c:v>
                </c:pt>
                <c:pt idx="6">
                  <c:v>17.5883830998681</c:v>
                </c:pt>
                <c:pt idx="7">
                  <c:v>13.7293048335457</c:v>
                </c:pt>
              </c:numCache>
            </c:numRef>
          </c:val>
        </c:ser>
        <c:gapWidth val="150"/>
        <c:overlap val="0"/>
        <c:axId val="89039576"/>
        <c:axId val="69769625"/>
      </c:barChart>
      <c:catAx>
        <c:axId val="8903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69625"/>
        <c:crosses val="autoZero"/>
        <c:auto val="1"/>
        <c:lblAlgn val="ctr"/>
        <c:lblOffset val="100"/>
        <c:noMultiLvlLbl val="0"/>
      </c:catAx>
      <c:valAx>
        <c:axId val="69769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млрд руб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0395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6</xdr:col>
      <xdr:colOff>463680</xdr:colOff>
      <xdr:row>47</xdr:row>
      <xdr:rowOff>1080</xdr:rowOff>
    </xdr:to>
    <xdr:graphicFrame>
      <xdr:nvGraphicFramePr>
        <xdr:cNvPr id="1" name="Chart 1"/>
        <xdr:cNvGraphicFramePr/>
      </xdr:nvGraphicFramePr>
      <xdr:xfrm>
        <a:off x="141120" y="61257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pravo.ppt.ru/prikaz/fas/n-1213-25-326387" TargetMode="External"/><Relationship Id="rId2" Type="http://schemas.openxmlformats.org/officeDocument/2006/relationships/hyperlink" Target="https://www.interfax.ru/business/1056714" TargetMode="External"/><Relationship Id="rId3" Type="http://schemas.openxmlformats.org/officeDocument/2006/relationships/hyperlink" Target="https://pravo.ppt.ru/kodeks/nk/st-342.4" TargetMode="External"/><Relationship Id="rId4" Type="http://schemas.openxmlformats.org/officeDocument/2006/relationships/hyperlink" Target="https://oilcapital.ru/news/2026-10-22/minenergo-na-toplivnom-rynke-otmechen-rost-proizvodstva-nachali-formirovatsya-zapasy-5714138" TargetMode="External"/><Relationship Id="rId5" Type="http://schemas.openxmlformats.org/officeDocument/2006/relationships/hyperlink" Target="https://ru.themoscowtimes.com/2026/10/06/dempfer-dlya-aviakerosina-v-rf-vyros-v-15-raza-v-senavg-raschyot-reyter-a207929" TargetMode="External"/><Relationship Id="rId6" Type="http://schemas.openxmlformats.org/officeDocument/2006/relationships/hyperlink" Target="https://sever-press.ru/narrative/intervju/tsentralizovannyj-zavoz-topliva-2025-skolko-i-kogda-dostavjat-v-otdalennye-poselki-janao-v-navigatsiju/" TargetMode="External"/><Relationship Id="rId7" Type="http://schemas.openxmlformats.org/officeDocument/2006/relationships/hyperlink" Target="https://ru.infratechnology.ru/technology/" TargetMode="External"/><Relationship Id="rId8" Type="http://schemas.openxmlformats.org/officeDocument/2006/relationships/hyperlink" Target="https://www.nalog.gov.ru/new2026/" TargetMode="External"/><Relationship Id="rId9" Type="http://schemas.openxmlformats.org/officeDocument/2006/relationships/hyperlink" Target="https://index.minfin.com.ua/markets/oil/2026-10/" TargetMode="External"/><Relationship Id="rId10" Type="http://schemas.openxmlformats.org/officeDocument/2006/relationships/hyperlink" Target="http://elibrary.sgu.ru/VKR/2020/21-05-02_006.pdf" TargetMode="External"/><Relationship Id="rId11" Type="http://schemas.openxmlformats.org/officeDocument/2006/relationships/hyperlink" Target="https://rosmineral.com/projects/gazovye-mestorozhdeniya/orenburgskoe-gazokondensatnoe-mestorozhdenie/" TargetMode="External"/><Relationship Id="rId12" Type="http://schemas.openxmlformats.org/officeDocument/2006/relationships/hyperlink" Target="https://vsluh.ru/novosti/tek/mal-novatek-da-dorog_44791/" TargetMode="External"/><Relationship Id="rId13" Type="http://schemas.openxmlformats.org/officeDocument/2006/relationships/hyperlink" Target="https://neftegas.info/news/article/20669" TargetMode="External"/><Relationship Id="rId14" Type="http://schemas.openxmlformats.org/officeDocument/2006/relationships/hyperlink" Target="https://goarctic.ru/kultura/uchenye-gotovyatsya-k-potepleniyu-izuchayut-iskusstvennuyu-zamorozku-grunta-chtoby-prodlit-rabotu-av/" TargetMode="External"/><Relationship Id="rId15" Type="http://schemas.openxmlformats.org/officeDocument/2006/relationships/hyperlink" Target="https://mintrans.gov.ru/file/535766" TargetMode="External"/><Relationship Id="rId16" Type="http://schemas.openxmlformats.org/officeDocument/2006/relationships/hyperlink" Target="https://energybase.ru/pipeline/bovanenkovo-ukhta" TargetMode="External"/><Relationship Id="rId17" Type="http://schemas.openxmlformats.org/officeDocument/2006/relationships/hyperlink" Target="https://www.npktrans.ru/media/novosti/yamaltransstroi-rasshirit-zhd-liniyu-dlya-vyvoza-uglevodorodov-s-bovanenkovskogo-mestorozhdeniya-k-portu-ust-lug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5" t="str">
        <f aca="false">"NPV нашего варианта при реальной ставке 10 %: "&amp;TEXT(Расчёт_Наш!C5,"0.0")&amp;" млрд руб; IRR "&amp;TEXT(Расчёт_Наш!C6,"0.0%")&amp;"; CAPEX "&amp;TEXT(Расчёт_Наш!C9,"0")&amp;" млрд руб; окупаемость (дисконт.) — "&amp;Расчёт_Наш!C7&amp;" г."</f>
        <v>NPV нашего варианта при реальной ставке 10 %: 22.5 млрд руб; IRR 11.0%; CAPEX 362 млрд руб; окупаемость (дисконт.) — 2048 г.</v>
      </c>
    </row>
    <row r="7" customFormat="false" ht="43.5" hidden="false" customHeight="true" outlineLevel="0" collapsed="false">
      <c r="B7" s="3" t="s">
        <v>5</v>
      </c>
      <c r="C7" s="4" t="s">
        <v>6</v>
      </c>
    </row>
    <row r="8" customFormat="false" ht="30" hidden="false" customHeight="true" outlineLevel="0" collapsed="false">
      <c r="B8" s="3" t="s">
        <v>7</v>
      </c>
      <c r="C8" s="4" t="s">
        <v>8</v>
      </c>
    </row>
    <row r="9" customFormat="false" ht="30" hidden="false" customHeight="true" outlineLevel="0" collapsed="false">
      <c r="B9" s="3" t="s">
        <v>9</v>
      </c>
      <c r="C9" s="4" t="s">
        <v>10</v>
      </c>
    </row>
    <row r="10" customFormat="false" ht="30" hidden="false" customHeight="true" outlineLevel="0" collapsed="false">
      <c r="B10" s="3" t="s">
        <v>11</v>
      </c>
      <c r="C10" s="4" t="s">
        <v>12</v>
      </c>
    </row>
    <row r="11" customFormat="false" ht="16.5" hidden="false" customHeight="true" outlineLevel="0" collapsed="false">
      <c r="B11" s="3" t="s">
        <v>13</v>
      </c>
      <c r="C11" s="4" t="s">
        <v>14</v>
      </c>
    </row>
    <row r="12" customFormat="false" ht="30" hidden="false" customHeight="true" outlineLevel="0" collapsed="false">
      <c r="B12" s="3" t="s">
        <v>15</v>
      </c>
      <c r="C12" s="4" t="s">
        <v>16</v>
      </c>
    </row>
    <row r="13" customFormat="false" ht="30" hidden="false" customHeight="true" outlineLevel="0" collapsed="false">
      <c r="B13" s="3" t="s">
        <v>17</v>
      </c>
      <c r="C1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0" min="3" style="0" width="16"/>
  </cols>
  <sheetData>
    <row r="2" customFormat="false" ht="17.35" hidden="false" customHeight="false" outlineLevel="0" collapsed="false">
      <c r="B2" s="1" t="s">
        <v>19</v>
      </c>
    </row>
    <row r="3" customFormat="false" ht="15" hidden="false" customHeight="false" outlineLevel="0" collapsed="false">
      <c r="B3" s="2" t="s">
        <v>20</v>
      </c>
    </row>
    <row r="5" customFormat="false" ht="45" hidden="false" customHeight="true" outlineLevel="0" collapsed="false"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29</v>
      </c>
    </row>
    <row r="6" customFormat="false" ht="15" hidden="false" customHeight="false" outlineLevel="0" collapsed="false">
      <c r="B6" s="3" t="s">
        <v>30</v>
      </c>
      <c r="C6" s="7" t="n">
        <f aca="false">Расчёт_А!C5</f>
        <v>15.105131949982</v>
      </c>
      <c r="D6" s="7" t="n">
        <f aca="false">Расчёт_Б!C5</f>
        <v>-9.37973474041574</v>
      </c>
      <c r="E6" s="7" t="n">
        <f aca="false">Расчёт_В!C5</f>
        <v>-75.2597325028052</v>
      </c>
      <c r="F6" s="7" t="n">
        <f aca="false">Расчёт_Г!C5</f>
        <v>16.893082825978</v>
      </c>
      <c r="G6" s="7" t="n">
        <f aca="false">Расчёт_Наш!C5</f>
        <v>22.5117962619646</v>
      </c>
      <c r="H6" s="7" t="n">
        <f aca="false">Расчёт_Наш_дебит!C5</f>
        <v>-1.55177926963406</v>
      </c>
      <c r="I6" s="7" t="n">
        <f aca="false">Расчёт_Наш_цены!C5</f>
        <v>17.5883830998681</v>
      </c>
      <c r="J6" s="7" t="n">
        <f aca="false">Расчёт_Наш_безКр!C5</f>
        <v>13.7293048335457</v>
      </c>
    </row>
    <row r="7" customFormat="false" ht="15" hidden="false" customHeight="false" outlineLevel="0" collapsed="false">
      <c r="B7" s="8" t="s">
        <v>31</v>
      </c>
      <c r="C7" s="9" t="n">
        <f aca="false">Расчёт_А!C6</f>
        <v>0.107410942059731</v>
      </c>
      <c r="D7" s="9" t="n">
        <f aca="false">Расчёт_Б!C6</f>
        <v>0.0960533448712216</v>
      </c>
      <c r="E7" s="9" t="n">
        <f aca="false">Расчёт_В!C6</f>
        <v>0.0711248930001186</v>
      </c>
      <c r="F7" s="9" t="n">
        <f aca="false">Расчёт_Г!C6</f>
        <v>0.108164714661836</v>
      </c>
      <c r="G7" s="9" t="n">
        <f aca="false">Расчёт_Наш!C6</f>
        <v>0.110444786475962</v>
      </c>
      <c r="H7" s="9" t="n">
        <f aca="false">Расчёт_Наш_дебит!C6</f>
        <v>0.0993216693065005</v>
      </c>
      <c r="I7" s="9" t="n">
        <f aca="false">Расчёт_Наш_цены!C6</f>
        <v>0.108247394998539</v>
      </c>
      <c r="J7" s="9" t="n">
        <f aca="false">Расчёт_Наш_безКр!C6</f>
        <v>0.106326887241058</v>
      </c>
    </row>
    <row r="8" customFormat="false" ht="15" hidden="false" customHeight="false" outlineLevel="0" collapsed="false">
      <c r="B8" s="8" t="s">
        <v>32</v>
      </c>
      <c r="C8" s="10" t="n">
        <f aca="false">Расчёт_А!C7</f>
        <v>2050</v>
      </c>
      <c r="D8" s="10" t="str">
        <f aca="false">Расчёт_Б!C7</f>
        <v>нет</v>
      </c>
      <c r="E8" s="10" t="str">
        <f aca="false">Расчёт_В!C7</f>
        <v>нет</v>
      </c>
      <c r="F8" s="10" t="n">
        <f aca="false">Расчёт_Г!C7</f>
        <v>2049</v>
      </c>
      <c r="G8" s="10" t="n">
        <f aca="false">Расчёт_Наш!C7</f>
        <v>2048</v>
      </c>
      <c r="H8" s="10" t="str">
        <f aca="false">Расчёт_Наш_дебит!C7</f>
        <v>нет</v>
      </c>
      <c r="I8" s="10" t="n">
        <f aca="false">Расчёт_Наш_цены!C7</f>
        <v>2049</v>
      </c>
      <c r="J8" s="10" t="n">
        <f aca="false">Расчёт_Наш_безКр!C7</f>
        <v>2051</v>
      </c>
    </row>
    <row r="9" customFormat="false" ht="15" hidden="false" customHeight="false" outlineLevel="0" collapsed="false">
      <c r="B9" s="8" t="s">
        <v>33</v>
      </c>
      <c r="C9" s="11" t="n">
        <f aca="false">Расчёт_А!C8</f>
        <v>1.06137075395113</v>
      </c>
      <c r="D9" s="11" t="n">
        <f aca="false">Расчёт_Б!C8</f>
        <v>0.96857102021596</v>
      </c>
      <c r="E9" s="11" t="n">
        <f aca="false">Расчёт_В!C8</f>
        <v>0.782100169062407</v>
      </c>
      <c r="F9" s="11" t="n">
        <f aca="false">Расчёт_Г!C8</f>
        <v>1.0677063056955</v>
      </c>
      <c r="G9" s="11" t="n">
        <f aca="false">Расчёт_Наш!C8</f>
        <v>1.08789407798189</v>
      </c>
      <c r="H9" s="11" t="n">
        <f aca="false">Расчёт_Наш_дебит!C8</f>
        <v>0.994428806494003</v>
      </c>
      <c r="I9" s="11" t="n">
        <f aca="false">Расчёт_Наш_цены!C8</f>
        <v>1.06867131781781</v>
      </c>
      <c r="J9" s="11" t="n">
        <f aca="false">Расчёт_Наш_безКр!C8</f>
        <v>1.05360410051843</v>
      </c>
    </row>
    <row r="10" customFormat="false" ht="15" hidden="false" customHeight="false" outlineLevel="0" collapsed="false">
      <c r="B10" s="8" t="s">
        <v>34</v>
      </c>
      <c r="C10" s="12" t="n">
        <f aca="false">Расчёт_А!C9</f>
        <v>347.055830986988</v>
      </c>
      <c r="D10" s="12" t="n">
        <f aca="false">Расчёт_Б!C9</f>
        <v>423.002304079336</v>
      </c>
      <c r="E10" s="12" t="n">
        <f aca="false">Расчёт_В!C9</f>
        <v>485.842175432342</v>
      </c>
      <c r="F10" s="12" t="n">
        <f aca="false">Расчёт_Г!C9</f>
        <v>351.544393226489</v>
      </c>
      <c r="G10" s="12" t="n">
        <f aca="false">Расчёт_Наш!C9</f>
        <v>362.294393226489</v>
      </c>
      <c r="H10" s="12" t="n">
        <f aca="false">Расчёт_Наш_дебит!C9</f>
        <v>393.46322439532</v>
      </c>
      <c r="I10" s="12" t="n">
        <f aca="false">Расчёт_Наш_цены!C9</f>
        <v>362.294393226489</v>
      </c>
      <c r="J10" s="12" t="n">
        <f aca="false">Расчёт_Наш_безКр!C9</f>
        <v>362.294393226489</v>
      </c>
    </row>
    <row r="11" customFormat="false" ht="15" hidden="false" customHeight="false" outlineLevel="0" collapsed="false">
      <c r="B11" s="8" t="s">
        <v>35</v>
      </c>
      <c r="C11" s="10" t="n">
        <f aca="false">Расчёт_А!C10</f>
        <v>57.1428571428571</v>
      </c>
      <c r="D11" s="10" t="n">
        <f aca="false">Расчёт_Б!C10</f>
        <v>57.1428571428571</v>
      </c>
      <c r="E11" s="10" t="n">
        <f aca="false">Расчёт_В!C10</f>
        <v>57.1428571428571</v>
      </c>
      <c r="F11" s="10" t="n">
        <f aca="false">Расчёт_Г!C10</f>
        <v>57.1428571428571</v>
      </c>
      <c r="G11" s="10" t="n">
        <f aca="false">Расчёт_Наш!C10</f>
        <v>57.1428571428571</v>
      </c>
      <c r="H11" s="10" t="n">
        <f aca="false">Расчёт_Наш_дебит!C10</f>
        <v>77.9220779220779</v>
      </c>
      <c r="I11" s="10" t="n">
        <f aca="false">Расчёт_Наш_цены!C10</f>
        <v>57.1428571428571</v>
      </c>
      <c r="J11" s="10" t="n">
        <f aca="false">Расчёт_Наш_безКр!C10</f>
        <v>57.1428571428571</v>
      </c>
    </row>
    <row r="13" customFormat="false" ht="15" hidden="false" customHeight="false" outlineLevel="0" collapsed="false">
      <c r="B13" s="8" t="s">
        <v>36</v>
      </c>
      <c r="C13" s="13" t="n">
        <f aca="false">Расчёт_А!D52</f>
        <v>275.200353119104</v>
      </c>
      <c r="D13" s="13" t="n">
        <f aca="false">Расчёт_Б!D52</f>
        <v>275.200353119104</v>
      </c>
      <c r="E13" s="13" t="n">
        <f aca="false">Расчёт_В!D52</f>
        <v>275.200353119104</v>
      </c>
      <c r="F13" s="13" t="n">
        <f aca="false">Расчёт_Г!D52</f>
        <v>275.200353119104</v>
      </c>
      <c r="G13" s="13" t="n">
        <f aca="false">Расчёт_Наш!D52</f>
        <v>275.200353119104</v>
      </c>
      <c r="H13" s="13" t="n">
        <f aca="false">Расчёт_Наш_дебит!D52</f>
        <v>275.200353119104</v>
      </c>
      <c r="I13" s="13" t="n">
        <f aca="false">Расчёт_Наш_цены!D52</f>
        <v>275.200353119104</v>
      </c>
      <c r="J13" s="13" t="n">
        <f aca="false">Расчёт_Наш_безКр!D52</f>
        <v>275.200353119104</v>
      </c>
    </row>
    <row r="14" customFormat="false" ht="15" hidden="false" customHeight="false" outlineLevel="0" collapsed="false">
      <c r="B14" s="8" t="s">
        <v>37</v>
      </c>
      <c r="C14" s="13" t="n">
        <f aca="false">Расчёт_А!D60</f>
        <v>263.957234680436</v>
      </c>
      <c r="D14" s="13" t="n">
        <f aca="false">Расчёт_Б!D60</f>
        <v>254.756823064951</v>
      </c>
      <c r="E14" s="13" t="n">
        <f aca="false">Расчёт_В!D60</f>
        <v>241.579838008004</v>
      </c>
      <c r="F14" s="13" t="n">
        <f aca="false">Расчёт_Г!D60</f>
        <v>263.5757184093</v>
      </c>
      <c r="G14" s="13" t="n">
        <f aca="false">Расчёт_Наш!D60</f>
        <v>257.231589394239</v>
      </c>
      <c r="H14" s="13" t="n">
        <f aca="false">Расчёт_Наш_дебит!D60</f>
        <v>257.231589394239</v>
      </c>
      <c r="I14" s="13" t="n">
        <f aca="false">Расчёт_Наш_цены!D60</f>
        <v>257.231589394239</v>
      </c>
      <c r="J14" s="13" t="n">
        <f aca="false">Расчёт_Наш_безКр!D60</f>
        <v>257.231589394239</v>
      </c>
    </row>
    <row r="15" customFormat="false" ht="15" hidden="false" customHeight="false" outlineLevel="0" collapsed="false">
      <c r="B15" s="8" t="s">
        <v>38</v>
      </c>
      <c r="C15" s="14" t="n">
        <f aca="false">Расчёт_А!D61</f>
        <v>9.95184932343368</v>
      </c>
      <c r="D15" s="14" t="n">
        <f aca="false">Расчёт_Б!D61</f>
        <v>8.78409143208111</v>
      </c>
      <c r="E15" s="14" t="n">
        <f aca="false">Расчёт_В!D61</f>
        <v>8.82845553022293</v>
      </c>
      <c r="F15" s="14" t="n">
        <f aca="false">Расчёт_Г!D61</f>
        <v>11.0223042147035</v>
      </c>
      <c r="G15" s="14" t="n">
        <f aca="false">Расчёт_Наш!D61</f>
        <v>11.0223042147035</v>
      </c>
      <c r="H15" s="14" t="n">
        <f aca="false">Расчёт_Наш_дебит!D61</f>
        <v>11.0223042147035</v>
      </c>
      <c r="I15" s="14" t="n">
        <f aca="false">Расчёт_Наш_цены!D61</f>
        <v>11.0223042147035</v>
      </c>
      <c r="J15" s="14" t="n">
        <f aca="false">Расчёт_Наш_безКр!D61</f>
        <v>11.0223042147035</v>
      </c>
    </row>
    <row r="16" customFormat="false" ht="15" hidden="false" customHeight="false" outlineLevel="0" collapsed="false">
      <c r="B16" s="8" t="s">
        <v>39</v>
      </c>
      <c r="C16" s="14" t="n">
        <f aca="false">Расчёт_А!D62</f>
        <v>0</v>
      </c>
      <c r="D16" s="14" t="n">
        <f aca="false">Расчёт_Б!D62</f>
        <v>19.4578206058003</v>
      </c>
      <c r="E16" s="14" t="n">
        <f aca="false">Расчёт_В!D62</f>
        <v>20.7605146744074</v>
      </c>
      <c r="F16" s="14" t="n">
        <f aca="false">Расчёт_Г!D62</f>
        <v>0</v>
      </c>
      <c r="G16" s="14" t="n">
        <f aca="false">Расчёт_Наш!D62</f>
        <v>0</v>
      </c>
      <c r="H16" s="14" t="n">
        <f aca="false">Расчёт_Наш_дебит!D62</f>
        <v>0</v>
      </c>
      <c r="I16" s="14" t="n">
        <f aca="false">Расчёт_Наш_цены!D62</f>
        <v>0</v>
      </c>
      <c r="J16" s="14" t="n">
        <f aca="false">Расчёт_Наш_безКр!D62</f>
        <v>0</v>
      </c>
    </row>
    <row r="17" customFormat="false" ht="15" hidden="false" customHeight="false" outlineLevel="0" collapsed="false">
      <c r="B17" s="8" t="s">
        <v>40</v>
      </c>
      <c r="C17" s="14" t="n">
        <f aca="false">Расчёт_А!D64</f>
        <v>0</v>
      </c>
      <c r="D17" s="14" t="n">
        <f aca="false">Расчёт_Б!D64</f>
        <v>0</v>
      </c>
      <c r="E17" s="14" t="n">
        <f aca="false">Расчёт_В!D64</f>
        <v>0</v>
      </c>
      <c r="F17" s="14" t="n">
        <f aca="false">Расчёт_Г!D64</f>
        <v>0</v>
      </c>
      <c r="G17" s="14" t="n">
        <f aca="false">Расчёт_Наш!D64</f>
        <v>1.36</v>
      </c>
      <c r="H17" s="14" t="n">
        <f aca="false">Расчёт_Наш_дебит!D64</f>
        <v>1.36</v>
      </c>
      <c r="I17" s="14" t="n">
        <f aca="false">Расчёт_Наш_цены!D64</f>
        <v>1.36</v>
      </c>
      <c r="J17" s="14" t="n">
        <f aca="false">Расчёт_Наш_безКр!D64</f>
        <v>1.36</v>
      </c>
    </row>
    <row r="18" customFormat="false" ht="15" hidden="false" customHeight="false" outlineLevel="0" collapsed="false">
      <c r="B18" s="8" t="s">
        <v>41</v>
      </c>
      <c r="C18" s="14" t="n">
        <f aca="false">Расчёт_А!D65</f>
        <v>0</v>
      </c>
      <c r="D18" s="14" t="n">
        <f aca="false">Расчёт_Б!D65</f>
        <v>0</v>
      </c>
      <c r="E18" s="14" t="n">
        <f aca="false">Расчёт_В!D65</f>
        <v>0</v>
      </c>
      <c r="F18" s="14" t="n">
        <f aca="false">Расчёт_Г!D65</f>
        <v>0</v>
      </c>
      <c r="G18" s="14" t="n">
        <f aca="false">Расчёт_Наш!D65</f>
        <v>1.02</v>
      </c>
      <c r="H18" s="14" t="n">
        <f aca="false">Расчёт_Наш_дебит!D65</f>
        <v>1.02</v>
      </c>
      <c r="I18" s="14" t="n">
        <f aca="false">Расчёт_Наш_цены!D65</f>
        <v>1.02</v>
      </c>
      <c r="J18" s="14" t="n">
        <f aca="false">Расчёт_Наш_безКр!D65</f>
        <v>1.02</v>
      </c>
    </row>
    <row r="19" customFormat="false" ht="15" hidden="false" customHeight="false" outlineLevel="0" collapsed="false">
      <c r="B19" s="8" t="s">
        <v>42</v>
      </c>
      <c r="C19" s="13" t="n">
        <f aca="false">Расчёт_А!D73</f>
        <v>1749.85830751801</v>
      </c>
      <c r="D19" s="13" t="n">
        <f aca="false">Расчёт_Б!D73</f>
        <v>1975.23111568933</v>
      </c>
      <c r="E19" s="13" t="n">
        <f aca="false">Расчёт_В!D73</f>
        <v>1888.58318008022</v>
      </c>
      <c r="F19" s="13" t="n">
        <f aca="false">Расчёт_Г!D73</f>
        <v>1782.9300332601</v>
      </c>
      <c r="G19" s="13" t="n">
        <f aca="false">Расчёт_Наш!D73</f>
        <v>1900.28130527118</v>
      </c>
      <c r="H19" s="13" t="n">
        <f aca="false">Расчёт_Наш_дебит!D73</f>
        <v>1900.28130527118</v>
      </c>
      <c r="I19" s="13" t="n">
        <f aca="false">Расчёт_Наш_цены!D73</f>
        <v>1861.04530527118</v>
      </c>
      <c r="J19" s="13" t="n">
        <f aca="false">Расчёт_Наш_безКр!D73</f>
        <v>1900.28130527118</v>
      </c>
    </row>
    <row r="20" customFormat="false" ht="15" hidden="false" customHeight="false" outlineLevel="0" collapsed="false">
      <c r="B20" s="8" t="s">
        <v>43</v>
      </c>
      <c r="C20" s="13" t="n">
        <f aca="false">Расчёт_А!D74</f>
        <v>234.560776463964</v>
      </c>
      <c r="D20" s="13" t="n">
        <f aca="false">Расчёт_Б!D74</f>
        <v>269.735839432545</v>
      </c>
      <c r="E20" s="13" t="n">
        <f aca="false">Расчёт_В!D74</f>
        <v>263.623124728381</v>
      </c>
      <c r="F20" s="13" t="n">
        <f aca="false">Расчёт_Г!D74</f>
        <v>239.125139610895</v>
      </c>
      <c r="G20" s="13" t="n">
        <f aca="false">Расчёт_Наш!D74</f>
        <v>240.233065349912</v>
      </c>
      <c r="H20" s="13" t="n">
        <f aca="false">Расчёт_Наш_дебит!D74</f>
        <v>240.233065349912</v>
      </c>
      <c r="I20" s="13" t="n">
        <f aca="false">Расчёт_Наш_цены!D74</f>
        <v>240.233065349912</v>
      </c>
      <c r="J20" s="13" t="n">
        <f aca="false">Расчёт_Наш_безКр!D74</f>
        <v>265.414936818946</v>
      </c>
    </row>
    <row r="21" customFormat="false" ht="15" hidden="false" customHeight="false" outlineLevel="0" collapsed="false">
      <c r="B21" s="8" t="s">
        <v>44</v>
      </c>
      <c r="C21" s="13" t="n">
        <f aca="false">Расчёт_А!D97</f>
        <v>225.795775860763</v>
      </c>
      <c r="D21" s="13" t="n">
        <f aca="false">Расчёт_Б!D97</f>
        <v>294.278605609301</v>
      </c>
      <c r="E21" s="13" t="n">
        <f aca="false">Расчёт_В!D97</f>
        <v>330.188359291906</v>
      </c>
      <c r="F21" s="13" t="n">
        <f aca="false">Расчёт_Г!D97</f>
        <v>228.754826915729</v>
      </c>
      <c r="G21" s="13" t="n">
        <f aca="false">Расчёт_Наш!D97</f>
        <v>248.834115167095</v>
      </c>
      <c r="H21" s="13" t="n">
        <f aca="false">Расчёт_Наш_дебит!D97</f>
        <v>265.300608673588</v>
      </c>
      <c r="I21" s="13" t="n">
        <f aca="false">Расчёт_Наш_цены!D97</f>
        <v>248.834115167095</v>
      </c>
      <c r="J21" s="13" t="n">
        <f aca="false">Расчёт_Наш_безКр!D97</f>
        <v>248.834115167095</v>
      </c>
    </row>
    <row r="22" customFormat="false" ht="15" hidden="false" customHeight="false" outlineLevel="0" collapsed="false">
      <c r="B22" s="8" t="s">
        <v>45</v>
      </c>
      <c r="C22" s="13" t="n">
        <f aca="false">Расчёт_А!D103</f>
        <v>223.031016989929</v>
      </c>
      <c r="D22" s="13" t="n">
        <f aca="false">Расчёт_Б!D103</f>
        <v>232.4029881559</v>
      </c>
      <c r="E22" s="13" t="n">
        <f aca="false">Расчёт_В!D103</f>
        <v>187.091468271113</v>
      </c>
      <c r="F22" s="13" t="n">
        <f aca="false">Расчёт_Г!D103</f>
        <v>228.113837117744</v>
      </c>
      <c r="G22" s="13" t="n">
        <f aca="false">Расчёт_Наш!D103</f>
        <v>249.034126622919</v>
      </c>
      <c r="H22" s="13" t="n">
        <f aca="false">Расчёт_Наш_дебит!D103</f>
        <v>236.551165583958</v>
      </c>
      <c r="I22" s="13" t="n">
        <f aca="false">Расчёт_Наш_цены!D103</f>
        <v>239.225126622919</v>
      </c>
      <c r="J22" s="13" t="n">
        <f aca="false">Расчёт_Наш_безКр!D103</f>
        <v>243.140043840134</v>
      </c>
    </row>
    <row r="23" customFormat="false" ht="15" hidden="false" customHeight="false" outlineLevel="0" collapsed="false">
      <c r="B23" s="8" t="s">
        <v>46</v>
      </c>
      <c r="C23" s="13" t="n">
        <f aca="false">Расчёт_А!D105</f>
        <v>664.504935411496</v>
      </c>
      <c r="D23" s="13" t="n">
        <f aca="false">Расчёт_Б!D105</f>
        <v>688.96865366491</v>
      </c>
      <c r="E23" s="13" t="n">
        <f aca="false">Расчёт_В!D105</f>
        <v>545.317987420781</v>
      </c>
      <c r="F23" s="13" t="n">
        <f aca="false">Расчёт_Г!D105</f>
        <v>679.790625999491</v>
      </c>
      <c r="G23" s="13" t="n">
        <f aca="false">Расчёт_Наш!D105</f>
        <v>742.392394515016</v>
      </c>
      <c r="H23" s="13" t="n">
        <f aca="false">Расчёт_Наш_дебит!D105</f>
        <v>702.30288802151</v>
      </c>
      <c r="I23" s="13" t="n">
        <f aca="false">Расчёт_Наш_цены!D105</f>
        <v>712.965394515016</v>
      </c>
      <c r="J23" s="13" t="n">
        <f aca="false">Расчёт_Наш_безКр!D105</f>
        <v>723.104605828768</v>
      </c>
    </row>
    <row r="25" customFormat="false" ht="15" hidden="false" customHeight="false" outlineLevel="0" collapsed="false">
      <c r="B25" s="3" t="s">
        <v>47</v>
      </c>
      <c r="C25" s="15" t="n">
        <f aca="false">C6-$G$6</f>
        <v>-7.4066643119826</v>
      </c>
      <c r="D25" s="15" t="n">
        <f aca="false">D6-$G$6</f>
        <v>-31.8915310023804</v>
      </c>
      <c r="E25" s="15" t="n">
        <f aca="false">E6-$G$6</f>
        <v>-97.7715287647699</v>
      </c>
      <c r="F25" s="15" t="n">
        <f aca="false">F6-$G$6</f>
        <v>-5.61871343598661</v>
      </c>
      <c r="G25" s="15" t="n">
        <f aca="false">G6-$G$6</f>
        <v>0</v>
      </c>
      <c r="H25" s="15" t="n">
        <f aca="false">H6-$G$6</f>
        <v>-24.0635755315987</v>
      </c>
      <c r="I25" s="15" t="n">
        <f aca="false">I6-$G$6</f>
        <v>-4.9234131620965</v>
      </c>
      <c r="J25" s="15" t="n">
        <f aca="false">J6-$G$6</f>
        <v>-8.78249142841898</v>
      </c>
    </row>
    <row r="27" customFormat="false" ht="15" hidden="false" customHeight="false" outlineLevel="0" collapsed="false">
      <c r="B27" s="3" t="s">
        <v>48</v>
      </c>
    </row>
    <row r="28" customFormat="false" ht="15" hidden="false" customHeight="false" outlineLevel="0" collapsed="false">
      <c r="B28" s="16" t="str">
        <f aca="false">IF(G6&gt;0,"Наш вариант (ТДА + GTL 40+30) прибылен: NPV = "&amp;TEXT(G6,"0.0")&amp;" млрд руб, IRR = "&amp;TEXT(G7,"0.0%")&amp;" — лучший среди вариантов А–Г.","Наш вариант пока не окупается при ставке сценария.")</f>
        <v>Наш вариант (ТДА + GTL 40+30) прибылен: NPV = 22.5 млрд руб, IRR = 11.0% — лучший среди вариантов А–Г.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62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49</v>
      </c>
    </row>
    <row r="3" customFormat="false" ht="15" hidden="false" customHeight="false" outlineLevel="0" collapsed="false">
      <c r="B3" s="2" t="s">
        <v>50</v>
      </c>
    </row>
    <row r="5" customFormat="false" ht="15" hidden="false" customHeight="false" outlineLevel="0" collapsed="false"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</row>
    <row r="6" customFormat="false" ht="15" hidden="false" customHeight="false" outlineLevel="0" collapsed="false">
      <c r="B6" s="8" t="s">
        <v>56</v>
      </c>
      <c r="C6" s="17" t="n">
        <v>320</v>
      </c>
      <c r="D6" s="8" t="s">
        <v>57</v>
      </c>
      <c r="E6" s="4" t="s">
        <v>58</v>
      </c>
      <c r="F6" s="8" t="s">
        <v>59</v>
      </c>
    </row>
    <row r="7" customFormat="false" ht="15" hidden="false" customHeight="false" outlineLevel="0" collapsed="false">
      <c r="B7" s="8" t="s">
        <v>60</v>
      </c>
      <c r="C7" s="18" t="n">
        <v>0.86</v>
      </c>
      <c r="D7" s="8" t="s">
        <v>61</v>
      </c>
      <c r="E7" s="4" t="s">
        <v>58</v>
      </c>
      <c r="F7" s="8" t="s">
        <v>59</v>
      </c>
    </row>
    <row r="8" customFormat="false" ht="15" hidden="false" customHeight="false" outlineLevel="0" collapsed="false">
      <c r="B8" s="8" t="s">
        <v>62</v>
      </c>
      <c r="C8" s="19" t="n">
        <f aca="false">C6*C7</f>
        <v>275.2</v>
      </c>
      <c r="D8" s="8" t="s">
        <v>57</v>
      </c>
      <c r="E8" s="4" t="s">
        <v>63</v>
      </c>
      <c r="F8" s="8"/>
    </row>
    <row r="9" customFormat="false" ht="23.85" hidden="false" customHeight="false" outlineLevel="0" collapsed="false">
      <c r="B9" s="8" t="s">
        <v>64</v>
      </c>
      <c r="C9" s="20" t="n">
        <v>2031</v>
      </c>
      <c r="D9" s="8" t="s">
        <v>65</v>
      </c>
      <c r="E9" s="4" t="s">
        <v>66</v>
      </c>
      <c r="F9" s="8"/>
    </row>
    <row r="10" customFormat="false" ht="23.85" hidden="false" customHeight="false" outlineLevel="0" collapsed="false">
      <c r="B10" s="8" t="s">
        <v>67</v>
      </c>
      <c r="C10" s="18" t="n">
        <v>0.56</v>
      </c>
      <c r="D10" s="8" t="s">
        <v>68</v>
      </c>
      <c r="E10" s="4" t="s">
        <v>69</v>
      </c>
      <c r="F10" s="8"/>
    </row>
    <row r="11" customFormat="false" ht="15" hidden="false" customHeight="false" outlineLevel="0" collapsed="false">
      <c r="B11" s="8" t="s">
        <v>70</v>
      </c>
      <c r="C11" s="17" t="n">
        <v>24.055</v>
      </c>
      <c r="D11" s="8" t="s">
        <v>71</v>
      </c>
      <c r="E11" s="4" t="s">
        <v>72</v>
      </c>
      <c r="F11" s="8"/>
    </row>
    <row r="12" customFormat="false" ht="15" hidden="false" customHeight="false" outlineLevel="0" collapsed="false">
      <c r="B12" s="8" t="s">
        <v>73</v>
      </c>
      <c r="C12" s="17" t="n">
        <v>33.07572</v>
      </c>
      <c r="D12" s="8" t="s">
        <v>74</v>
      </c>
      <c r="E12" s="4" t="s">
        <v>75</v>
      </c>
      <c r="F12" s="8"/>
    </row>
    <row r="13" customFormat="false" ht="23.85" hidden="false" customHeight="false" outlineLevel="0" collapsed="false">
      <c r="B13" s="8" t="s">
        <v>76</v>
      </c>
      <c r="C13" s="17" t="n">
        <v>4705</v>
      </c>
      <c r="D13" s="8" t="s">
        <v>77</v>
      </c>
      <c r="E13" s="4" t="s">
        <v>78</v>
      </c>
      <c r="F13" s="8" t="s">
        <v>79</v>
      </c>
    </row>
    <row r="14" customFormat="false" ht="23.85" hidden="false" customHeight="false" outlineLevel="0" collapsed="false">
      <c r="B14" s="8" t="s">
        <v>80</v>
      </c>
      <c r="C14" s="17" t="n">
        <v>65</v>
      </c>
      <c r="D14" s="8" t="s">
        <v>81</v>
      </c>
      <c r="E14" s="4" t="s">
        <v>82</v>
      </c>
      <c r="F14" s="8" t="s">
        <v>83</v>
      </c>
    </row>
    <row r="15" customFormat="false" ht="15" hidden="false" customHeight="false" outlineLevel="0" collapsed="false">
      <c r="B15" s="8" t="s">
        <v>84</v>
      </c>
      <c r="C15" s="17" t="n">
        <v>85</v>
      </c>
      <c r="D15" s="8" t="s">
        <v>85</v>
      </c>
      <c r="E15" s="4" t="s">
        <v>86</v>
      </c>
      <c r="F15" s="8" t="s">
        <v>83</v>
      </c>
    </row>
    <row r="16" customFormat="false" ht="15" hidden="false" customHeight="false" outlineLevel="0" collapsed="false">
      <c r="B16" s="8" t="s">
        <v>87</v>
      </c>
      <c r="C16" s="17" t="n">
        <v>3</v>
      </c>
      <c r="D16" s="8" t="s">
        <v>81</v>
      </c>
      <c r="E16" s="4" t="s">
        <v>88</v>
      </c>
      <c r="F16" s="8"/>
    </row>
    <row r="17" customFormat="false" ht="15" hidden="false" customHeight="false" outlineLevel="0" collapsed="false">
      <c r="B17" s="8" t="s">
        <v>89</v>
      </c>
      <c r="C17" s="17" t="n">
        <v>8.8</v>
      </c>
      <c r="D17" s="8" t="s">
        <v>90</v>
      </c>
      <c r="E17" s="4" t="s">
        <v>91</v>
      </c>
      <c r="F17" s="8"/>
    </row>
    <row r="18" customFormat="false" ht="23.85" hidden="false" customHeight="false" outlineLevel="0" collapsed="false">
      <c r="B18" s="8" t="s">
        <v>92</v>
      </c>
      <c r="C18" s="17" t="n">
        <v>9000</v>
      </c>
      <c r="D18" s="8" t="s">
        <v>93</v>
      </c>
      <c r="E18" s="4" t="s">
        <v>94</v>
      </c>
      <c r="F18" s="8"/>
    </row>
    <row r="19" customFormat="false" ht="15" hidden="false" customHeight="false" outlineLevel="0" collapsed="false">
      <c r="B19" s="8" t="s">
        <v>95</v>
      </c>
      <c r="C19" s="17" t="n">
        <v>20000</v>
      </c>
      <c r="D19" s="8" t="s">
        <v>93</v>
      </c>
      <c r="E19" s="4" t="s">
        <v>96</v>
      </c>
      <c r="F19" s="8"/>
    </row>
    <row r="20" customFormat="false" ht="15" hidden="false" customHeight="false" outlineLevel="0" collapsed="false">
      <c r="B20" s="8" t="s">
        <v>97</v>
      </c>
      <c r="C20" s="18" t="n">
        <v>0</v>
      </c>
      <c r="D20" s="8" t="s">
        <v>93</v>
      </c>
      <c r="E20" s="4" t="s">
        <v>98</v>
      </c>
      <c r="F20" s="8"/>
    </row>
    <row r="21" customFormat="false" ht="15" hidden="false" customHeight="false" outlineLevel="0" collapsed="false">
      <c r="B21" s="8" t="s">
        <v>99</v>
      </c>
      <c r="C21" s="18" t="n">
        <v>0.02</v>
      </c>
      <c r="D21" s="8" t="s">
        <v>100</v>
      </c>
      <c r="E21" s="4" t="s">
        <v>88</v>
      </c>
      <c r="F21" s="8"/>
    </row>
    <row r="22" customFormat="false" ht="15" hidden="false" customHeight="false" outlineLevel="0" collapsed="false">
      <c r="B22" s="8" t="s">
        <v>101</v>
      </c>
      <c r="C22" s="18" t="n">
        <v>0.035</v>
      </c>
      <c r="D22" s="8" t="s">
        <v>100</v>
      </c>
      <c r="E22" s="4" t="s">
        <v>88</v>
      </c>
      <c r="F22" s="8"/>
    </row>
    <row r="23" customFormat="false" ht="15" hidden="false" customHeight="false" outlineLevel="0" collapsed="false">
      <c r="B23" s="8" t="s">
        <v>102</v>
      </c>
      <c r="C23" s="17" t="n">
        <v>494</v>
      </c>
      <c r="D23" s="8" t="s">
        <v>77</v>
      </c>
      <c r="E23" s="4" t="s">
        <v>103</v>
      </c>
      <c r="F23" s="8" t="s">
        <v>83</v>
      </c>
    </row>
    <row r="24" customFormat="false" ht="15" hidden="false" customHeight="false" outlineLevel="0" collapsed="false">
      <c r="B24" s="8" t="s">
        <v>104</v>
      </c>
      <c r="C24" s="17" t="n">
        <v>250</v>
      </c>
      <c r="D24" s="8" t="s">
        <v>77</v>
      </c>
      <c r="E24" s="4" t="s">
        <v>105</v>
      </c>
      <c r="F24" s="8"/>
    </row>
    <row r="25" customFormat="false" ht="15" hidden="false" customHeight="false" outlineLevel="0" collapsed="false">
      <c r="B25" s="8" t="s">
        <v>106</v>
      </c>
      <c r="C25" s="18" t="n">
        <v>0.15</v>
      </c>
      <c r="D25" s="8" t="s">
        <v>100</v>
      </c>
      <c r="E25" s="4" t="s">
        <v>107</v>
      </c>
      <c r="F25" s="8"/>
    </row>
    <row r="26" customFormat="false" ht="23.85" hidden="false" customHeight="false" outlineLevel="0" collapsed="false">
      <c r="B26" s="8" t="s">
        <v>108</v>
      </c>
      <c r="C26" s="18" t="n">
        <v>0.066</v>
      </c>
      <c r="D26" s="8"/>
      <c r="E26" s="4" t="s">
        <v>109</v>
      </c>
      <c r="F26" s="8" t="s">
        <v>83</v>
      </c>
    </row>
    <row r="27" customFormat="false" ht="15" hidden="false" customHeight="false" outlineLevel="0" collapsed="false">
      <c r="B27" s="8" t="s">
        <v>110</v>
      </c>
      <c r="C27" s="18" t="n">
        <v>0.144</v>
      </c>
      <c r="D27" s="8"/>
      <c r="E27" s="4" t="s">
        <v>111</v>
      </c>
      <c r="F27" s="8" t="s">
        <v>83</v>
      </c>
    </row>
    <row r="28" customFormat="false" ht="15" hidden="false" customHeight="false" outlineLevel="0" collapsed="false">
      <c r="B28" s="8" t="s">
        <v>112</v>
      </c>
      <c r="C28" s="20" t="n">
        <v>12</v>
      </c>
      <c r="D28" s="8" t="s">
        <v>113</v>
      </c>
      <c r="E28" s="4" t="s">
        <v>114</v>
      </c>
      <c r="F28" s="8"/>
    </row>
    <row r="29" customFormat="false" ht="15" hidden="false" customHeight="false" outlineLevel="0" collapsed="false">
      <c r="B29" s="8" t="s">
        <v>115</v>
      </c>
      <c r="C29" s="18" t="n">
        <v>0.01</v>
      </c>
      <c r="D29" s="8" t="s">
        <v>116</v>
      </c>
      <c r="E29" s="4" t="s">
        <v>117</v>
      </c>
      <c r="F29" s="8"/>
    </row>
    <row r="30" customFormat="false" ht="15" hidden="false" customHeight="false" outlineLevel="0" collapsed="false">
      <c r="B30" s="8" t="s">
        <v>118</v>
      </c>
      <c r="C30" s="18" t="n">
        <v>0.25</v>
      </c>
      <c r="D30" s="8" t="s">
        <v>100</v>
      </c>
      <c r="E30" s="4" t="s">
        <v>119</v>
      </c>
      <c r="F30" s="8" t="s">
        <v>79</v>
      </c>
    </row>
    <row r="31" customFormat="false" ht="15" hidden="false" customHeight="false" outlineLevel="0" collapsed="false">
      <c r="B31" s="8" t="s">
        <v>120</v>
      </c>
      <c r="C31" s="18" t="n">
        <v>0.022</v>
      </c>
      <c r="D31" s="8" t="s">
        <v>121</v>
      </c>
      <c r="E31" s="4" t="s">
        <v>122</v>
      </c>
      <c r="F31" s="8"/>
    </row>
    <row r="32" customFormat="false" ht="15" hidden="false" customHeight="false" outlineLevel="0" collapsed="false">
      <c r="B32" s="8" t="s">
        <v>123</v>
      </c>
      <c r="C32" s="20" t="n">
        <v>15</v>
      </c>
      <c r="D32" s="8" t="s">
        <v>113</v>
      </c>
      <c r="E32" s="4" t="s">
        <v>124</v>
      </c>
      <c r="F32" s="8"/>
    </row>
    <row r="33" customFormat="false" ht="15" hidden="false" customHeight="false" outlineLevel="0" collapsed="false">
      <c r="B33" s="8" t="s">
        <v>125</v>
      </c>
      <c r="C33" s="18" t="n">
        <v>0.015</v>
      </c>
      <c r="D33" s="8" t="s">
        <v>126</v>
      </c>
      <c r="E33" s="4" t="s">
        <v>127</v>
      </c>
      <c r="F33" s="8"/>
    </row>
    <row r="34" customFormat="false" ht="15" hidden="false" customHeight="false" outlineLevel="0" collapsed="false">
      <c r="B34" s="8" t="s">
        <v>128</v>
      </c>
      <c r="C34" s="17" t="n">
        <v>150</v>
      </c>
      <c r="D34" s="8" t="s">
        <v>129</v>
      </c>
      <c r="E34" s="4" t="s">
        <v>88</v>
      </c>
      <c r="F34" s="8"/>
    </row>
    <row r="35" customFormat="false" ht="15" hidden="false" customHeight="false" outlineLevel="0" collapsed="false">
      <c r="B35" s="8" t="s">
        <v>130</v>
      </c>
      <c r="C35" s="17" t="n">
        <v>1000</v>
      </c>
      <c r="D35" s="8" t="s">
        <v>93</v>
      </c>
      <c r="E35" s="4" t="s">
        <v>88</v>
      </c>
      <c r="F35" s="8"/>
    </row>
    <row r="36" customFormat="false" ht="15" hidden="false" customHeight="false" outlineLevel="0" collapsed="false">
      <c r="B36" s="8" t="s">
        <v>131</v>
      </c>
      <c r="C36" s="17" t="n">
        <v>500</v>
      </c>
      <c r="D36" s="8" t="s">
        <v>93</v>
      </c>
      <c r="E36" s="4" t="s">
        <v>88</v>
      </c>
      <c r="F36" s="8"/>
    </row>
    <row r="37" customFormat="false" ht="23.85" hidden="false" customHeight="false" outlineLevel="0" collapsed="false">
      <c r="B37" s="8" t="s">
        <v>132</v>
      </c>
      <c r="C37" s="18" t="n">
        <v>0.41</v>
      </c>
      <c r="D37" s="8" t="s">
        <v>133</v>
      </c>
      <c r="E37" s="4" t="s">
        <v>134</v>
      </c>
      <c r="F37" s="8" t="s">
        <v>83</v>
      </c>
    </row>
    <row r="38" customFormat="false" ht="15" hidden="false" customHeight="false" outlineLevel="0" collapsed="false">
      <c r="B38" s="8" t="s">
        <v>135</v>
      </c>
      <c r="C38" s="18" t="n">
        <v>0.915</v>
      </c>
      <c r="D38" s="8" t="s">
        <v>100</v>
      </c>
      <c r="E38" s="4" t="s">
        <v>136</v>
      </c>
      <c r="F38" s="8"/>
    </row>
    <row r="39" customFormat="false" ht="15" hidden="false" customHeight="false" outlineLevel="0" collapsed="false">
      <c r="B39" s="8" t="s">
        <v>137</v>
      </c>
      <c r="C39" s="21" t="n">
        <v>40</v>
      </c>
      <c r="D39" s="8" t="s">
        <v>138</v>
      </c>
      <c r="E39" s="4" t="s">
        <v>139</v>
      </c>
      <c r="F39" s="8" t="s">
        <v>140</v>
      </c>
    </row>
    <row r="40" customFormat="false" ht="15" hidden="false" customHeight="false" outlineLevel="0" collapsed="false">
      <c r="B40" s="8" t="s">
        <v>141</v>
      </c>
      <c r="C40" s="21" t="n">
        <v>30</v>
      </c>
      <c r="D40" s="8" t="s">
        <v>138</v>
      </c>
      <c r="E40" s="4" t="s">
        <v>139</v>
      </c>
      <c r="F40" s="8" t="s">
        <v>140</v>
      </c>
    </row>
    <row r="41" customFormat="false" ht="15" hidden="false" customHeight="false" outlineLevel="0" collapsed="false">
      <c r="B41" s="8" t="s">
        <v>142</v>
      </c>
      <c r="C41" s="17" t="n">
        <v>5525</v>
      </c>
      <c r="D41" s="8" t="s">
        <v>143</v>
      </c>
      <c r="E41" s="4" t="s">
        <v>144</v>
      </c>
      <c r="F41" s="8" t="s">
        <v>83</v>
      </c>
    </row>
    <row r="42" customFormat="false" ht="15" hidden="false" customHeight="false" outlineLevel="0" collapsed="false">
      <c r="B42" s="8" t="s">
        <v>145</v>
      </c>
      <c r="C42" s="20" t="n">
        <v>2033</v>
      </c>
      <c r="D42" s="8" t="s">
        <v>65</v>
      </c>
      <c r="E42" s="4" t="s">
        <v>146</v>
      </c>
      <c r="F42" s="8"/>
    </row>
    <row r="43" customFormat="false" ht="35.05" hidden="false" customHeight="false" outlineLevel="0" collapsed="false">
      <c r="B43" s="8" t="s">
        <v>147</v>
      </c>
      <c r="C43" s="17" t="n">
        <v>85485</v>
      </c>
      <c r="D43" s="8" t="s">
        <v>93</v>
      </c>
      <c r="E43" s="4" t="s">
        <v>148</v>
      </c>
      <c r="F43" s="8" t="s">
        <v>149</v>
      </c>
    </row>
    <row r="44" customFormat="false" ht="23.85" hidden="false" customHeight="false" outlineLevel="0" collapsed="false">
      <c r="B44" s="8" t="s">
        <v>150</v>
      </c>
      <c r="C44" s="17" t="n">
        <v>98426</v>
      </c>
      <c r="D44" s="8" t="s">
        <v>93</v>
      </c>
      <c r="E44" s="4" t="s">
        <v>151</v>
      </c>
      <c r="F44" s="8" t="s">
        <v>83</v>
      </c>
    </row>
    <row r="45" customFormat="false" ht="15" hidden="false" customHeight="false" outlineLevel="0" collapsed="false">
      <c r="B45" s="8" t="s">
        <v>152</v>
      </c>
      <c r="C45" s="18" t="n">
        <v>0.22</v>
      </c>
      <c r="D45" s="8" t="s">
        <v>100</v>
      </c>
      <c r="E45" s="4" t="s">
        <v>153</v>
      </c>
      <c r="F45" s="8" t="s">
        <v>59</v>
      </c>
    </row>
    <row r="46" customFormat="false" ht="23.85" hidden="false" customHeight="false" outlineLevel="0" collapsed="false">
      <c r="B46" s="8" t="s">
        <v>154</v>
      </c>
      <c r="C46" s="22" t="n">
        <v>0.8</v>
      </c>
      <c r="D46" s="8" t="s">
        <v>100</v>
      </c>
      <c r="E46" s="4" t="s">
        <v>155</v>
      </c>
      <c r="F46" s="8" t="s">
        <v>140</v>
      </c>
    </row>
    <row r="47" customFormat="false" ht="15" hidden="false" customHeight="false" outlineLevel="0" collapsed="false">
      <c r="B47" s="8" t="s">
        <v>156</v>
      </c>
      <c r="C47" s="19" t="n">
        <f aca="false">ROUND(C43/(1+C45)*C46,-2)</f>
        <v>56100</v>
      </c>
      <c r="D47" s="8" t="s">
        <v>93</v>
      </c>
      <c r="E47" s="4" t="s">
        <v>157</v>
      </c>
      <c r="F47" s="8"/>
    </row>
    <row r="48" customFormat="false" ht="15" hidden="false" customHeight="false" outlineLevel="0" collapsed="false">
      <c r="B48" s="8" t="s">
        <v>158</v>
      </c>
      <c r="C48" s="19" t="n">
        <f aca="false">ROUND(C44/(1+C45)*C46,-2)</f>
        <v>64500</v>
      </c>
      <c r="D48" s="8" t="s">
        <v>93</v>
      </c>
      <c r="E48" s="4" t="s">
        <v>159</v>
      </c>
      <c r="F4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10" min="3" style="0" width="12"/>
  </cols>
  <sheetData>
    <row r="2" customFormat="false" ht="17.35" hidden="false" customHeight="false" outlineLevel="0" collapsed="false">
      <c r="B2" s="1" t="s">
        <v>160</v>
      </c>
    </row>
    <row r="3" customFormat="false" ht="15" hidden="false" customHeight="false" outlineLevel="0" collapsed="false">
      <c r="B3" s="2" t="s">
        <v>161</v>
      </c>
    </row>
    <row r="5" customFormat="false" ht="15" hidden="false" customHeight="false" outlineLevel="0" collapsed="false">
      <c r="B5" s="6" t="s">
        <v>162</v>
      </c>
      <c r="C5" s="6" t="s">
        <v>163</v>
      </c>
      <c r="D5" s="6" t="s">
        <v>164</v>
      </c>
      <c r="E5" s="6" t="s">
        <v>165</v>
      </c>
      <c r="F5" s="6" t="s">
        <v>166</v>
      </c>
      <c r="G5" s="6" t="s">
        <v>167</v>
      </c>
      <c r="H5" s="6" t="s">
        <v>168</v>
      </c>
      <c r="I5" s="6" t="s">
        <v>169</v>
      </c>
    </row>
    <row r="6" customFormat="false" ht="15" hidden="false" customHeight="false" outlineLevel="0" collapsed="false">
      <c r="B6" s="8" t="s">
        <v>170</v>
      </c>
      <c r="C6" s="23" t="n">
        <v>88.5</v>
      </c>
      <c r="D6" s="24" t="n">
        <v>16.043</v>
      </c>
      <c r="E6" s="23" t="n">
        <v>33.4101</v>
      </c>
      <c r="F6" s="23" t="n">
        <v>0</v>
      </c>
      <c r="G6" s="23" t="n">
        <v>0</v>
      </c>
      <c r="H6" s="23" t="n">
        <v>0</v>
      </c>
      <c r="I6" s="23" t="n">
        <v>0</v>
      </c>
    </row>
    <row r="7" customFormat="false" ht="15" hidden="false" customHeight="false" outlineLevel="0" collapsed="false">
      <c r="B7" s="8" t="s">
        <v>171</v>
      </c>
      <c r="C7" s="23" t="n">
        <v>5.5</v>
      </c>
      <c r="D7" s="24" t="n">
        <v>30.069</v>
      </c>
      <c r="E7" s="23" t="n">
        <v>59.458</v>
      </c>
      <c r="F7" s="23" t="n">
        <v>0</v>
      </c>
      <c r="G7" s="23" t="n">
        <v>0</v>
      </c>
      <c r="H7" s="23" t="n">
        <v>0</v>
      </c>
      <c r="I7" s="23" t="n">
        <v>0.85</v>
      </c>
    </row>
    <row r="8" customFormat="false" ht="15" hidden="false" customHeight="false" outlineLevel="0" collapsed="false">
      <c r="B8" s="8" t="s">
        <v>172</v>
      </c>
      <c r="C8" s="23" t="n">
        <v>3</v>
      </c>
      <c r="D8" s="24" t="n">
        <v>44.096</v>
      </c>
      <c r="E8" s="23" t="n">
        <v>85.0243</v>
      </c>
      <c r="F8" s="23" t="n">
        <v>0</v>
      </c>
      <c r="G8" s="23" t="n">
        <v>0.9</v>
      </c>
      <c r="H8" s="23" t="n">
        <v>0</v>
      </c>
      <c r="I8" s="23" t="n">
        <v>0.98</v>
      </c>
    </row>
    <row r="9" customFormat="false" ht="15" hidden="false" customHeight="false" outlineLevel="0" collapsed="false">
      <c r="B9" s="8" t="s">
        <v>173</v>
      </c>
      <c r="C9" s="23" t="n">
        <v>0.45</v>
      </c>
      <c r="D9" s="24" t="n">
        <v>58.122</v>
      </c>
      <c r="E9" s="23" t="n">
        <v>110.1876</v>
      </c>
      <c r="F9" s="23" t="n">
        <v>0.25</v>
      </c>
      <c r="G9" s="23" t="n">
        <v>0.97</v>
      </c>
      <c r="H9" s="23" t="n">
        <v>0.35</v>
      </c>
      <c r="I9" s="23" t="n">
        <v>0.99</v>
      </c>
    </row>
    <row r="10" customFormat="false" ht="15" hidden="false" customHeight="false" outlineLevel="0" collapsed="false">
      <c r="B10" s="8" t="s">
        <v>174</v>
      </c>
      <c r="C10" s="23" t="n">
        <v>0.55</v>
      </c>
      <c r="D10" s="24" t="n">
        <v>58.122</v>
      </c>
      <c r="E10" s="23" t="n">
        <v>110.5808</v>
      </c>
      <c r="F10" s="23" t="n">
        <v>0.3</v>
      </c>
      <c r="G10" s="23" t="n">
        <v>0.97</v>
      </c>
      <c r="H10" s="23" t="n">
        <v>0.42</v>
      </c>
      <c r="I10" s="23" t="n">
        <v>0.99</v>
      </c>
    </row>
    <row r="11" customFormat="false" ht="15" hidden="false" customHeight="false" outlineLevel="0" collapsed="false">
      <c r="B11" s="8" t="s">
        <v>175</v>
      </c>
      <c r="C11" s="23" t="n">
        <v>0.8</v>
      </c>
      <c r="D11" s="24" t="n">
        <v>100</v>
      </c>
      <c r="E11" s="23" t="n">
        <v>188.233</v>
      </c>
      <c r="F11" s="23" t="n">
        <v>0.92</v>
      </c>
      <c r="G11" s="23" t="n">
        <v>0.99</v>
      </c>
      <c r="H11" s="23" t="n">
        <v>0.96</v>
      </c>
      <c r="I11" s="23" t="n">
        <v>0.995</v>
      </c>
    </row>
    <row r="12" customFormat="false" ht="15" hidden="false" customHeight="false" outlineLevel="0" collapsed="false">
      <c r="B12" s="8" t="s">
        <v>176</v>
      </c>
      <c r="C12" s="23" t="n">
        <v>0.5</v>
      </c>
      <c r="D12" s="24" t="n">
        <v>28.013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0</v>
      </c>
    </row>
    <row r="13" customFormat="false" ht="15" hidden="false" customHeight="false" outlineLevel="0" collapsed="false">
      <c r="B13" s="8" t="s">
        <v>177</v>
      </c>
      <c r="C13" s="23" t="n">
        <v>0.65</v>
      </c>
      <c r="D13" s="24" t="n">
        <v>44.01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</row>
    <row r="14" customFormat="false" ht="15" hidden="false" customHeight="false" outlineLevel="0" collapsed="false">
      <c r="B14" s="3" t="s">
        <v>178</v>
      </c>
      <c r="C14" s="25" t="n">
        <f aca="false">SUM(C6:C13)</f>
        <v>99.95</v>
      </c>
    </row>
    <row r="15" customFormat="false" ht="15" hidden="false" customHeight="false" outlineLevel="0" collapsed="false">
      <c r="B15" s="8" t="s">
        <v>179</v>
      </c>
      <c r="C15" s="26" t="n">
        <f aca="false">1000/Исходные!$C$11</f>
        <v>41.5713988775722</v>
      </c>
    </row>
    <row r="17" customFormat="false" ht="15" hidden="false" customHeight="false" outlineLevel="0" collapsed="false">
      <c r="B17" s="6" t="s">
        <v>180</v>
      </c>
      <c r="C17" s="6" t="s">
        <v>53</v>
      </c>
      <c r="D17" s="6" t="s">
        <v>181</v>
      </c>
      <c r="E17" s="6" t="s">
        <v>182</v>
      </c>
      <c r="F17" s="6" t="s">
        <v>183</v>
      </c>
      <c r="G17" s="6" t="s">
        <v>184</v>
      </c>
    </row>
    <row r="18" customFormat="false" ht="15" hidden="false" customHeight="false" outlineLevel="0" collapsed="false">
      <c r="B18" s="8" t="s">
        <v>185</v>
      </c>
      <c r="C18" s="8" t="s">
        <v>186</v>
      </c>
      <c r="D18" s="25" t="n">
        <f aca="false">$C$11/$C$14*$C$15*$D$11*F$11+($C$9/$C$14*$C$15*$D$9*F$9+$C$10/$C$14*$C$15*$D$10*F$10)</f>
        <v>37.3202003204887</v>
      </c>
      <c r="E18" s="25" t="n">
        <f aca="false">$C$11/$C$14*$C$15*$D$11*G$11</f>
        <v>32.9410184202473</v>
      </c>
      <c r="F18" s="25" t="n">
        <f aca="false">$C$11/$C$14*$C$15*$D$11*H$11+($C$9/$C$14*$C$15*$D$9*H$9+$C$10/$C$14*$C$15*$D$10*H$10)</f>
        <v>41.3344884872284</v>
      </c>
      <c r="G18" s="25" t="n">
        <f aca="false">$C$11/$C$14*$C$15*$D$11*I$11</f>
        <v>33.1073872001476</v>
      </c>
    </row>
    <row r="19" customFormat="false" ht="15" hidden="false" customHeight="false" outlineLevel="0" collapsed="false">
      <c r="B19" s="8" t="s">
        <v>187</v>
      </c>
      <c r="C19" s="8" t="s">
        <v>186</v>
      </c>
      <c r="D19" s="25" t="n">
        <v>0</v>
      </c>
      <c r="E19" s="25" t="n">
        <f aca="false">$C$8/$C$14*$C$15*$D$8*G$8+($C$9/$C$14*$C$15*$D$9*G$9+$C$10/$C$14*$C$15*$D$10*G$10)</f>
        <v>72.9683236962485</v>
      </c>
      <c r="F19" s="25" t="n">
        <v>0</v>
      </c>
      <c r="G19" s="25" t="n">
        <f aca="false">$C$8/$C$14*$C$15*$D$8*I$8+($C$9/$C$14*$C$15*$D$9*I$9+$C$10/$C$14*$C$15*$D$10*I$10)</f>
        <v>77.8535266386051</v>
      </c>
    </row>
    <row r="20" customFormat="false" ht="15" hidden="false" customHeight="false" outlineLevel="0" collapsed="false">
      <c r="B20" s="8" t="s">
        <v>188</v>
      </c>
      <c r="C20" s="8" t="s">
        <v>186</v>
      </c>
      <c r="D20" s="25" t="n">
        <f aca="false">$C$7/$C$14*$C$15*$D$7*F$7</f>
        <v>0</v>
      </c>
      <c r="E20" s="25" t="n">
        <f aca="false">$C$7/$C$14*$C$15*$D$7*G$7</f>
        <v>0</v>
      </c>
      <c r="F20" s="25" t="n">
        <f aca="false">$C$7/$C$14*$C$15*$D$7*H$7</f>
        <v>0</v>
      </c>
      <c r="G20" s="25" t="n">
        <f aca="false">$C$7/$C$14*$C$15*$D$7*I$7</f>
        <v>58.4672194754621</v>
      </c>
    </row>
    <row r="21" customFormat="false" ht="15" hidden="false" customHeight="false" outlineLevel="0" collapsed="false">
      <c r="B21" s="8" t="s">
        <v>189</v>
      </c>
      <c r="C21" s="8" t="s">
        <v>190</v>
      </c>
      <c r="D21" s="25" t="n">
        <f aca="false">SUMPRODUCT($C$6:$C$13,1-F$6:F$13)/$C$14*1000</f>
        <v>989.859929964982</v>
      </c>
      <c r="E21" s="25" t="n">
        <f aca="false">SUMPRODUCT($C$6:$C$13,1-G$6:G$13)/$C$14*1000</f>
        <v>955.35767883942</v>
      </c>
      <c r="F21" s="25" t="n">
        <f aca="false">SUMPRODUCT($C$6:$C$13,1-H$6:H$13)/$C$14*1000</f>
        <v>988.429214607304</v>
      </c>
      <c r="G21" s="25" t="n">
        <f aca="false">SUMPRODUCT($C$6:$C$13,1-I$6:I$13)/$C$14*1000</f>
        <v>905.942971485743</v>
      </c>
    </row>
    <row r="22" customFormat="false" ht="15" hidden="false" customHeight="false" outlineLevel="0" collapsed="false">
      <c r="B22" s="8" t="s">
        <v>191</v>
      </c>
      <c r="C22" s="8" t="s">
        <v>74</v>
      </c>
      <c r="D22" s="26" t="n">
        <f aca="false">SUMPRODUCT($C$6:$C$13,1-F$6:F$13,$E$6:$E$13)/SUMPRODUCT($C$6:$C$13,1-F$6:F$13)</f>
        <v>36.697220793135</v>
      </c>
      <c r="E22" s="26" t="n">
        <f aca="false">SUMPRODUCT($C$6:$C$13,1-G$6:G$13,$E$6:$E$13)/SUMPRODUCT($C$6:$C$13,1-G$6:G$13)</f>
        <v>34.7073780977714</v>
      </c>
      <c r="F22" s="26" t="n">
        <f aca="false">SUMPRODUCT($C$6:$C$13,1-H$6:H$13,$E$6:$E$13)/SUMPRODUCT($C$6:$C$13,1-H$6:H$13)</f>
        <v>36.5653039339633</v>
      </c>
      <c r="G22" s="26" t="n">
        <f aca="false">SUMPRODUCT($C$6:$C$13,1-I$6:I$13,$E$6:$E$13)/SUMPRODUCT($C$6:$C$13,1-I$6:I$13)</f>
        <v>33.2726493787894</v>
      </c>
    </row>
    <row r="24" customFormat="false" ht="15" hidden="false" customHeight="false" outlineLevel="0" collapsed="false">
      <c r="B24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28" min="10" style="0" width="7"/>
    <col collapsed="false" customWidth="true" hidden="false" outlineLevel="0" max="30" min="30" style="0" width="90"/>
  </cols>
  <sheetData>
    <row r="2" customFormat="false" ht="17.35" hidden="false" customHeight="false" outlineLevel="0" collapsed="false">
      <c r="B2" s="1" t="s">
        <v>193</v>
      </c>
    </row>
    <row r="3" customFormat="false" ht="15" hidden="false" customHeight="false" outlineLevel="0" collapsed="false">
      <c r="B3" s="2" t="s">
        <v>194</v>
      </c>
    </row>
    <row r="5" customFormat="false" ht="23.85" hidden="false" customHeight="false" outlineLevel="0" collapsed="false">
      <c r="B5" s="6" t="s">
        <v>195</v>
      </c>
      <c r="C5" s="6" t="s">
        <v>196</v>
      </c>
      <c r="D5" s="6" t="s">
        <v>197</v>
      </c>
      <c r="E5" s="6" t="s">
        <v>181</v>
      </c>
      <c r="F5" s="6" t="s">
        <v>182</v>
      </c>
      <c r="G5" s="6" t="s">
        <v>184</v>
      </c>
      <c r="H5" s="6" t="s">
        <v>198</v>
      </c>
      <c r="I5" s="6" t="s">
        <v>183</v>
      </c>
      <c r="J5" s="6" t="s">
        <v>199</v>
      </c>
      <c r="K5" s="6" t="s">
        <v>200</v>
      </c>
      <c r="L5" s="6" t="s">
        <v>201</v>
      </c>
      <c r="M5" s="6" t="s">
        <v>202</v>
      </c>
      <c r="N5" s="6" t="s">
        <v>203</v>
      </c>
      <c r="O5" s="6" t="s">
        <v>204</v>
      </c>
      <c r="P5" s="6" t="s">
        <v>205</v>
      </c>
      <c r="Q5" s="6" t="s">
        <v>206</v>
      </c>
      <c r="R5" s="6" t="s">
        <v>207</v>
      </c>
      <c r="S5" s="6" t="s">
        <v>208</v>
      </c>
      <c r="T5" s="6" t="s">
        <v>209</v>
      </c>
      <c r="U5" s="6" t="s">
        <v>210</v>
      </c>
      <c r="V5" s="6" t="s">
        <v>211</v>
      </c>
      <c r="W5" s="6" t="s">
        <v>212</v>
      </c>
      <c r="X5" s="6" t="s">
        <v>213</v>
      </c>
      <c r="Y5" s="6" t="s">
        <v>214</v>
      </c>
      <c r="Z5" s="6" t="s">
        <v>215</v>
      </c>
      <c r="AA5" s="6" t="s">
        <v>216</v>
      </c>
      <c r="AB5" s="6" t="s">
        <v>217</v>
      </c>
      <c r="AC5" s="6" t="s">
        <v>218</v>
      </c>
      <c r="AD5" s="6" t="s">
        <v>219</v>
      </c>
    </row>
    <row r="6" customFormat="false" ht="15" hidden="false" customHeight="false" outlineLevel="0" collapsed="false">
      <c r="B6" s="8" t="s">
        <v>220</v>
      </c>
      <c r="C6" s="27" t="n">
        <v>15</v>
      </c>
      <c r="D6" s="8" t="s">
        <v>221</v>
      </c>
      <c r="E6" s="20" t="n">
        <v>1</v>
      </c>
      <c r="F6" s="20" t="n">
        <v>1</v>
      </c>
      <c r="G6" s="20" t="n">
        <v>1</v>
      </c>
      <c r="H6" s="20" t="n">
        <v>1</v>
      </c>
      <c r="I6" s="20" t="n">
        <v>1</v>
      </c>
      <c r="J6" s="28" t="n">
        <v>1</v>
      </c>
      <c r="K6" s="28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28" t="n">
        <v>0</v>
      </c>
      <c r="Q6" s="28" t="n">
        <v>0</v>
      </c>
      <c r="R6" s="28" t="n">
        <v>0</v>
      </c>
      <c r="S6" s="28" t="n">
        <v>0</v>
      </c>
      <c r="T6" s="28" t="n">
        <v>0</v>
      </c>
      <c r="U6" s="28" t="n">
        <v>0</v>
      </c>
      <c r="V6" s="28" t="n">
        <v>0</v>
      </c>
      <c r="W6" s="28" t="n">
        <v>0</v>
      </c>
      <c r="X6" s="28" t="n">
        <v>0</v>
      </c>
      <c r="Y6" s="28" t="n">
        <v>0</v>
      </c>
      <c r="Z6" s="28" t="n">
        <v>0</v>
      </c>
      <c r="AA6" s="28" t="n">
        <v>0</v>
      </c>
      <c r="AB6" s="28" t="n">
        <v>0</v>
      </c>
      <c r="AC6" s="29" t="n">
        <f aca="false">SUM(J6:AB6)</f>
        <v>1</v>
      </c>
      <c r="AD6" s="8" t="s">
        <v>222</v>
      </c>
    </row>
    <row r="7" customFormat="false" ht="15" hidden="false" customHeight="false" outlineLevel="0" collapsed="false">
      <c r="B7" s="8" t="s">
        <v>223</v>
      </c>
      <c r="C7" s="8" t="s">
        <v>224</v>
      </c>
      <c r="D7" s="8" t="s">
        <v>225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8" t="n">
        <v>0</v>
      </c>
      <c r="K7" s="28" t="n">
        <v>0.2</v>
      </c>
      <c r="L7" s="28" t="n">
        <v>0.3</v>
      </c>
      <c r="M7" s="28" t="n">
        <v>0.3</v>
      </c>
      <c r="N7" s="28" t="n">
        <v>0.08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0.03</v>
      </c>
      <c r="T7" s="28" t="n">
        <v>0.03</v>
      </c>
      <c r="U7" s="28" t="n">
        <v>0.03</v>
      </c>
      <c r="V7" s="28" t="n">
        <v>0.03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9" t="n">
        <f aca="false">SUM(J7:AB7)</f>
        <v>1</v>
      </c>
      <c r="AD7" s="8" t="s">
        <v>226</v>
      </c>
    </row>
    <row r="8" customFormat="false" ht="15" hidden="false" customHeight="false" outlineLevel="0" collapsed="false">
      <c r="B8" s="8" t="s">
        <v>227</v>
      </c>
      <c r="C8" s="27" t="n">
        <v>46.5</v>
      </c>
      <c r="D8" s="8" t="s">
        <v>228</v>
      </c>
      <c r="E8" s="20" t="n">
        <v>1</v>
      </c>
      <c r="F8" s="20" t="n">
        <v>1</v>
      </c>
      <c r="G8" s="20" t="n">
        <v>1</v>
      </c>
      <c r="H8" s="20" t="n">
        <v>1</v>
      </c>
      <c r="I8" s="20" t="n">
        <v>1</v>
      </c>
      <c r="J8" s="28" t="n">
        <v>0</v>
      </c>
      <c r="K8" s="28" t="n">
        <v>0.3</v>
      </c>
      <c r="L8" s="28" t="n">
        <v>0.4</v>
      </c>
      <c r="M8" s="28" t="n">
        <v>0.3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9" t="n">
        <f aca="false">SUM(J8:AB8)</f>
        <v>1</v>
      </c>
      <c r="AD8" s="8" t="s">
        <v>229</v>
      </c>
    </row>
    <row r="9" customFormat="false" ht="15" hidden="false" customHeight="false" outlineLevel="0" collapsed="false">
      <c r="B9" s="8" t="s">
        <v>230</v>
      </c>
      <c r="C9" s="27" t="n">
        <v>78.12</v>
      </c>
      <c r="D9" s="8" t="s">
        <v>228</v>
      </c>
      <c r="E9" s="20" t="n">
        <v>1</v>
      </c>
      <c r="F9" s="20" t="n">
        <v>1</v>
      </c>
      <c r="G9" s="20" t="n">
        <v>1</v>
      </c>
      <c r="H9" s="20" t="n">
        <v>1</v>
      </c>
      <c r="I9" s="20" t="n">
        <v>1</v>
      </c>
      <c r="J9" s="28" t="n">
        <v>0</v>
      </c>
      <c r="K9" s="28" t="n">
        <v>0.297619</v>
      </c>
      <c r="L9" s="28" t="n">
        <v>0.416667</v>
      </c>
      <c r="M9" s="28" t="n">
        <v>0.285714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9" t="n">
        <f aca="false">SUM(J9:AB9)</f>
        <v>1</v>
      </c>
      <c r="AD9" s="8" t="s">
        <v>231</v>
      </c>
    </row>
    <row r="10" customFormat="false" ht="15" hidden="false" customHeight="false" outlineLevel="0" collapsed="false">
      <c r="B10" s="8" t="s">
        <v>232</v>
      </c>
      <c r="C10" s="27" t="n">
        <v>5</v>
      </c>
      <c r="D10" s="8" t="s">
        <v>228</v>
      </c>
      <c r="E10" s="20" t="n">
        <v>0</v>
      </c>
      <c r="F10" s="20" t="n">
        <v>0</v>
      </c>
      <c r="G10" s="20" t="n">
        <v>0</v>
      </c>
      <c r="H10" s="20" t="n">
        <v>1</v>
      </c>
      <c r="I10" s="20" t="n">
        <v>1</v>
      </c>
      <c r="J10" s="28" t="n">
        <v>0</v>
      </c>
      <c r="K10" s="28" t="n">
        <v>0</v>
      </c>
      <c r="L10" s="28" t="n">
        <v>0.5</v>
      </c>
      <c r="M10" s="28" t="n">
        <v>0.5</v>
      </c>
      <c r="N10" s="28" t="n">
        <v>0</v>
      </c>
      <c r="O10" s="28" t="n">
        <v>0</v>
      </c>
      <c r="P10" s="28" t="n">
        <v>0</v>
      </c>
      <c r="Q10" s="28" t="n">
        <v>0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8" t="n">
        <v>0</v>
      </c>
      <c r="Z10" s="28" t="n">
        <v>0</v>
      </c>
      <c r="AA10" s="28" t="n">
        <v>0</v>
      </c>
      <c r="AB10" s="28" t="n">
        <v>0</v>
      </c>
      <c r="AC10" s="29" t="n">
        <f aca="false">SUM(J10:AB10)</f>
        <v>1</v>
      </c>
      <c r="AD10" s="8" t="s">
        <v>233</v>
      </c>
    </row>
    <row r="11" customFormat="false" ht="15" hidden="false" customHeight="false" outlineLevel="0" collapsed="false">
      <c r="B11" s="8" t="s">
        <v>234</v>
      </c>
      <c r="C11" s="27" t="n">
        <v>60</v>
      </c>
      <c r="D11" s="8" t="s">
        <v>228</v>
      </c>
      <c r="E11" s="20" t="n">
        <v>0</v>
      </c>
      <c r="F11" s="20" t="n">
        <v>1</v>
      </c>
      <c r="G11" s="20" t="n">
        <v>1</v>
      </c>
      <c r="H11" s="20" t="n">
        <v>0</v>
      </c>
      <c r="I11" s="20" t="n">
        <v>0</v>
      </c>
      <c r="J11" s="28" t="n">
        <v>0</v>
      </c>
      <c r="K11" s="28" t="n">
        <v>0</v>
      </c>
      <c r="L11" s="28" t="n">
        <v>0.416667</v>
      </c>
      <c r="M11" s="28" t="n">
        <v>0.583333</v>
      </c>
      <c r="N11" s="28" t="n">
        <v>0</v>
      </c>
      <c r="O11" s="28" t="n">
        <v>0</v>
      </c>
      <c r="P11" s="28" t="n">
        <v>0</v>
      </c>
      <c r="Q11" s="28" t="n">
        <v>0</v>
      </c>
      <c r="R11" s="28" t="n">
        <v>0</v>
      </c>
      <c r="S11" s="28" t="n">
        <v>0</v>
      </c>
      <c r="T11" s="28" t="n">
        <v>0</v>
      </c>
      <c r="U11" s="28" t="n">
        <v>0</v>
      </c>
      <c r="V11" s="28" t="n">
        <v>0</v>
      </c>
      <c r="W11" s="28" t="n">
        <v>0</v>
      </c>
      <c r="X11" s="28" t="n">
        <v>0</v>
      </c>
      <c r="Y11" s="28" t="n">
        <v>0</v>
      </c>
      <c r="Z11" s="28" t="n">
        <v>0</v>
      </c>
      <c r="AA11" s="28" t="n">
        <v>0</v>
      </c>
      <c r="AB11" s="28" t="n">
        <v>0</v>
      </c>
      <c r="AC11" s="29" t="n">
        <f aca="false">SUM(J11:AB11)</f>
        <v>1</v>
      </c>
      <c r="AD11" s="8" t="s">
        <v>235</v>
      </c>
    </row>
    <row r="12" customFormat="false" ht="15" hidden="false" customHeight="false" outlineLevel="0" collapsed="false">
      <c r="B12" s="8" t="s">
        <v>236</v>
      </c>
      <c r="C12" s="27" t="n">
        <v>9.6</v>
      </c>
      <c r="D12" s="8" t="s">
        <v>228</v>
      </c>
      <c r="E12" s="20" t="n">
        <v>0</v>
      </c>
      <c r="F12" s="20" t="n">
        <v>1</v>
      </c>
      <c r="G12" s="20" t="n">
        <v>1</v>
      </c>
      <c r="H12" s="20" t="n">
        <v>0</v>
      </c>
      <c r="I12" s="20" t="n">
        <v>0</v>
      </c>
      <c r="J12" s="28" t="n">
        <v>0</v>
      </c>
      <c r="K12" s="28" t="n">
        <v>0</v>
      </c>
      <c r="L12" s="28" t="n">
        <v>0.520833</v>
      </c>
      <c r="M12" s="28" t="n">
        <v>0.479167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9" t="n">
        <f aca="false">SUM(J12:AB12)</f>
        <v>1</v>
      </c>
      <c r="AD12" s="8" t="s">
        <v>237</v>
      </c>
    </row>
    <row r="13" customFormat="false" ht="15" hidden="false" customHeight="false" outlineLevel="0" collapsed="false">
      <c r="B13" s="8" t="s">
        <v>238</v>
      </c>
      <c r="C13" s="27" t="n">
        <v>3</v>
      </c>
      <c r="D13" s="8" t="s">
        <v>228</v>
      </c>
      <c r="E13" s="20" t="n">
        <v>0</v>
      </c>
      <c r="F13" s="20" t="n">
        <v>1</v>
      </c>
      <c r="G13" s="20" t="n">
        <v>1</v>
      </c>
      <c r="H13" s="20" t="n">
        <v>0</v>
      </c>
      <c r="I13" s="20" t="n">
        <v>0</v>
      </c>
      <c r="J13" s="28" t="n">
        <v>0</v>
      </c>
      <c r="K13" s="28" t="n">
        <v>0</v>
      </c>
      <c r="L13" s="28" t="n">
        <v>0.5</v>
      </c>
      <c r="M13" s="28" t="n">
        <v>0.5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9" t="n">
        <f aca="false">SUM(J13:AB13)</f>
        <v>1</v>
      </c>
      <c r="AD13" s="8" t="s">
        <v>237</v>
      </c>
    </row>
    <row r="14" customFormat="false" ht="15" hidden="false" customHeight="false" outlineLevel="0" collapsed="false">
      <c r="B14" s="8" t="s">
        <v>239</v>
      </c>
      <c r="C14" s="27" t="n">
        <v>12</v>
      </c>
      <c r="D14" s="8" t="s">
        <v>228</v>
      </c>
      <c r="E14" s="20" t="n">
        <v>0</v>
      </c>
      <c r="F14" s="20" t="n">
        <v>1</v>
      </c>
      <c r="G14" s="20" t="n">
        <v>1</v>
      </c>
      <c r="H14" s="20" t="n">
        <v>0</v>
      </c>
      <c r="I14" s="20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1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9" t="n">
        <f aca="false">SUM(J14:AB14)</f>
        <v>1</v>
      </c>
      <c r="AD14" s="8" t="s">
        <v>240</v>
      </c>
    </row>
    <row r="15" customFormat="false" ht="15" hidden="false" customHeight="false" outlineLevel="0" collapsed="false">
      <c r="B15" s="8" t="s">
        <v>241</v>
      </c>
      <c r="C15" s="27" t="n">
        <v>70</v>
      </c>
      <c r="D15" s="8" t="s">
        <v>228</v>
      </c>
      <c r="E15" s="20" t="n">
        <v>0</v>
      </c>
      <c r="F15" s="20" t="n">
        <v>0</v>
      </c>
      <c r="G15" s="20" t="n">
        <v>1</v>
      </c>
      <c r="H15" s="20" t="n">
        <v>0</v>
      </c>
      <c r="I15" s="20" t="n">
        <v>0</v>
      </c>
      <c r="J15" s="28" t="n">
        <v>0</v>
      </c>
      <c r="K15" s="28" t="n">
        <v>0</v>
      </c>
      <c r="L15" s="28" t="n">
        <v>0.428571</v>
      </c>
      <c r="M15" s="28" t="n">
        <v>0.571429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9" t="n">
        <f aca="false">SUM(J15:AB15)</f>
        <v>1</v>
      </c>
      <c r="AD15" s="8" t="s">
        <v>242</v>
      </c>
    </row>
    <row r="16" customFormat="false" ht="15" hidden="false" customHeight="false" outlineLevel="0" collapsed="false">
      <c r="B16" s="8" t="s">
        <v>243</v>
      </c>
      <c r="C16" s="27" t="n">
        <v>12</v>
      </c>
      <c r="D16" s="8" t="s">
        <v>228</v>
      </c>
      <c r="E16" s="20" t="n">
        <v>1</v>
      </c>
      <c r="F16" s="20" t="n">
        <v>1</v>
      </c>
      <c r="G16" s="20" t="n">
        <v>1</v>
      </c>
      <c r="H16" s="20" t="n">
        <v>1</v>
      </c>
      <c r="I16" s="20" t="n">
        <v>1</v>
      </c>
      <c r="J16" s="28" t="n">
        <v>0</v>
      </c>
      <c r="K16" s="28" t="n">
        <v>0.416667</v>
      </c>
      <c r="L16" s="28" t="n">
        <v>0.416667</v>
      </c>
      <c r="M16" s="28" t="n">
        <v>0.166667</v>
      </c>
      <c r="N16" s="28" t="n">
        <v>0</v>
      </c>
      <c r="O16" s="28" t="n">
        <v>0</v>
      </c>
      <c r="P16" s="28" t="n">
        <v>0</v>
      </c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9" t="n">
        <f aca="false">SUM(J16:AB16)</f>
        <v>1.000001</v>
      </c>
      <c r="AD16" s="8" t="s">
        <v>244</v>
      </c>
    </row>
    <row r="17" customFormat="false" ht="15" hidden="false" customHeight="false" outlineLevel="0" collapsed="false">
      <c r="B17" s="8" t="s">
        <v>245</v>
      </c>
      <c r="C17" s="8" t="s">
        <v>224</v>
      </c>
      <c r="D17" s="8" t="s">
        <v>221</v>
      </c>
      <c r="E17" s="20" t="n">
        <v>1</v>
      </c>
      <c r="F17" s="20" t="n">
        <v>1</v>
      </c>
      <c r="G17" s="20" t="n">
        <v>1</v>
      </c>
      <c r="H17" s="20" t="n">
        <v>1</v>
      </c>
      <c r="I17" s="20" t="n">
        <v>1</v>
      </c>
      <c r="J17" s="28" t="n">
        <v>0</v>
      </c>
      <c r="K17" s="28" t="n">
        <v>0.375</v>
      </c>
      <c r="L17" s="28" t="n">
        <v>0.375</v>
      </c>
      <c r="M17" s="28" t="n">
        <v>0.25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9" t="n">
        <f aca="false">SUM(J17:AB17)</f>
        <v>1</v>
      </c>
      <c r="AD17" s="8" t="s">
        <v>246</v>
      </c>
    </row>
    <row r="18" customFormat="false" ht="15" hidden="false" customHeight="false" outlineLevel="0" collapsed="false">
      <c r="B18" s="8" t="s">
        <v>247</v>
      </c>
      <c r="C18" s="8" t="s">
        <v>224</v>
      </c>
      <c r="D18" s="8" t="s">
        <v>221</v>
      </c>
      <c r="E18" s="20" t="n">
        <v>1</v>
      </c>
      <c r="F18" s="20" t="n">
        <v>1</v>
      </c>
      <c r="G18" s="20" t="n">
        <v>1</v>
      </c>
      <c r="H18" s="20" t="n">
        <v>1</v>
      </c>
      <c r="I18" s="20" t="n">
        <v>1</v>
      </c>
      <c r="J18" s="28" t="n">
        <v>0</v>
      </c>
      <c r="K18" s="28" t="n">
        <v>0.4</v>
      </c>
      <c r="L18" s="28" t="n">
        <v>0.4</v>
      </c>
      <c r="M18" s="28" t="n">
        <v>0.2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0</v>
      </c>
      <c r="T18" s="28" t="n">
        <v>0</v>
      </c>
      <c r="U18" s="28" t="n">
        <v>0</v>
      </c>
      <c r="V18" s="28" t="n">
        <v>0</v>
      </c>
      <c r="W18" s="28" t="n">
        <v>0</v>
      </c>
      <c r="X18" s="28" t="n">
        <v>0</v>
      </c>
      <c r="Y18" s="28" t="n">
        <v>0</v>
      </c>
      <c r="Z18" s="28" t="n">
        <v>0</v>
      </c>
      <c r="AA18" s="28" t="n">
        <v>0</v>
      </c>
      <c r="AB18" s="28" t="n">
        <v>0</v>
      </c>
      <c r="AC18" s="29" t="n">
        <f aca="false">SUM(J18:AB18)</f>
        <v>1</v>
      </c>
      <c r="AD18" s="8" t="s">
        <v>248</v>
      </c>
    </row>
    <row r="19" customFormat="false" ht="15" hidden="false" customHeight="false" outlineLevel="0" collapsed="false">
      <c r="B19" s="8" t="s">
        <v>249</v>
      </c>
      <c r="C19" s="27" t="n">
        <v>42</v>
      </c>
      <c r="D19" s="8" t="s">
        <v>228</v>
      </c>
      <c r="E19" s="20" t="n">
        <v>1</v>
      </c>
      <c r="F19" s="20" t="n">
        <v>1</v>
      </c>
      <c r="G19" s="20" t="n">
        <v>1</v>
      </c>
      <c r="H19" s="20" t="n">
        <v>1</v>
      </c>
      <c r="I19" s="20" t="n">
        <v>1</v>
      </c>
      <c r="J19" s="28" t="n">
        <v>0</v>
      </c>
      <c r="K19" s="28" t="n">
        <v>0.285714</v>
      </c>
      <c r="L19" s="28" t="n">
        <v>0.47619</v>
      </c>
      <c r="M19" s="28" t="n">
        <v>0.238095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9" t="n">
        <f aca="false">SUM(J19:AB19)</f>
        <v>0.999999</v>
      </c>
      <c r="AD19" s="8" t="s">
        <v>250</v>
      </c>
    </row>
    <row r="20" customFormat="false" ht="15" hidden="false" customHeight="false" outlineLevel="0" collapsed="false">
      <c r="B20" s="8" t="s">
        <v>251</v>
      </c>
      <c r="C20" s="27" t="n">
        <v>9.6</v>
      </c>
      <c r="D20" s="8" t="s">
        <v>228</v>
      </c>
      <c r="E20" s="20" t="n">
        <v>1</v>
      </c>
      <c r="F20" s="20" t="n">
        <v>1</v>
      </c>
      <c r="G20" s="20" t="n">
        <v>1</v>
      </c>
      <c r="H20" s="20" t="n">
        <v>1</v>
      </c>
      <c r="I20" s="20" t="n">
        <v>1</v>
      </c>
      <c r="J20" s="28" t="n">
        <v>0</v>
      </c>
      <c r="K20" s="28" t="n">
        <v>0</v>
      </c>
      <c r="L20" s="28" t="n">
        <v>0.625</v>
      </c>
      <c r="M20" s="28" t="n">
        <v>0.375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0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0</v>
      </c>
      <c r="AA20" s="28" t="n">
        <v>0</v>
      </c>
      <c r="AB20" s="28" t="n">
        <v>0</v>
      </c>
      <c r="AC20" s="29" t="n">
        <f aca="false">SUM(J20:AB20)</f>
        <v>1</v>
      </c>
      <c r="AD20" s="8" t="s">
        <v>252</v>
      </c>
    </row>
    <row r="21" customFormat="false" ht="15" hidden="false" customHeight="false" outlineLevel="0" collapsed="false">
      <c r="B21" s="8" t="s">
        <v>253</v>
      </c>
      <c r="C21" s="27" t="n">
        <v>55</v>
      </c>
      <c r="D21" s="8" t="s">
        <v>228</v>
      </c>
      <c r="E21" s="20" t="n">
        <v>1</v>
      </c>
      <c r="F21" s="20" t="n">
        <v>1</v>
      </c>
      <c r="G21" s="20" t="n">
        <v>1</v>
      </c>
      <c r="H21" s="20" t="n">
        <v>1</v>
      </c>
      <c r="I21" s="20" t="n">
        <v>1</v>
      </c>
      <c r="J21" s="28" t="n">
        <v>0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0</v>
      </c>
      <c r="Q21" s="28" t="n">
        <v>0</v>
      </c>
      <c r="R21" s="28" t="n">
        <v>0</v>
      </c>
      <c r="S21" s="28" t="n">
        <v>0</v>
      </c>
      <c r="T21" s="28" t="n">
        <v>0.272727</v>
      </c>
      <c r="U21" s="28" t="n">
        <v>0.363636</v>
      </c>
      <c r="V21" s="28" t="n">
        <v>0</v>
      </c>
      <c r="W21" s="28" t="n">
        <v>0</v>
      </c>
      <c r="X21" s="28" t="n">
        <v>0</v>
      </c>
      <c r="Y21" s="28" t="n">
        <v>0</v>
      </c>
      <c r="Z21" s="28" t="n">
        <v>0</v>
      </c>
      <c r="AA21" s="28" t="n">
        <v>0</v>
      </c>
      <c r="AB21" s="28" t="n">
        <v>0.363636</v>
      </c>
      <c r="AC21" s="29" t="n">
        <f aca="false">SUM(J21:AB21)</f>
        <v>0.999999</v>
      </c>
      <c r="AD21" s="8" t="s">
        <v>254</v>
      </c>
    </row>
    <row r="22" customFormat="false" ht="15" hidden="false" customHeight="false" outlineLevel="0" collapsed="false">
      <c r="B22" s="8" t="s">
        <v>255</v>
      </c>
      <c r="C22" s="8" t="s">
        <v>224</v>
      </c>
      <c r="D22" s="8" t="s">
        <v>221</v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1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0.4</v>
      </c>
      <c r="O22" s="28" t="n">
        <v>0.6</v>
      </c>
      <c r="P22" s="28" t="n">
        <v>0</v>
      </c>
      <c r="Q22" s="28" t="n">
        <v>0</v>
      </c>
      <c r="R22" s="28" t="n">
        <v>0</v>
      </c>
      <c r="S22" s="28" t="n">
        <v>0</v>
      </c>
      <c r="T22" s="28" t="n">
        <v>0</v>
      </c>
      <c r="U22" s="28" t="n">
        <v>0</v>
      </c>
      <c r="V22" s="28" t="n">
        <v>0</v>
      </c>
      <c r="W22" s="28" t="n">
        <v>0</v>
      </c>
      <c r="X22" s="28" t="n">
        <v>0</v>
      </c>
      <c r="Y22" s="28" t="n">
        <v>0</v>
      </c>
      <c r="Z22" s="28" t="n">
        <v>0</v>
      </c>
      <c r="AA22" s="28" t="n">
        <v>0</v>
      </c>
      <c r="AB22" s="28" t="n">
        <v>0</v>
      </c>
      <c r="AC22" s="29" t="n">
        <f aca="false">SUM(J22:AB22)</f>
        <v>1</v>
      </c>
      <c r="AD22" s="8" t="s">
        <v>256</v>
      </c>
    </row>
    <row r="24" customFormat="false" ht="15" hidden="false" customHeight="false" outlineLevel="0" collapsed="false">
      <c r="B24" s="2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11" min="4" style="0" width="17"/>
  </cols>
  <sheetData>
    <row r="2" customFormat="false" ht="17.35" hidden="false" customHeight="false" outlineLevel="0" collapsed="false">
      <c r="B2" s="1" t="s">
        <v>258</v>
      </c>
    </row>
    <row r="3" customFormat="false" ht="15" hidden="false" customHeight="false" outlineLevel="0" collapsed="false">
      <c r="B3" s="2" t="s">
        <v>259</v>
      </c>
    </row>
    <row r="5" customFormat="false" ht="42" hidden="false" customHeight="true" outlineLevel="0" collapsed="false">
      <c r="B5" s="6" t="s">
        <v>51</v>
      </c>
      <c r="C5" s="6" t="s">
        <v>53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29</v>
      </c>
    </row>
    <row r="6" customFormat="false" ht="15" hidden="false" customHeight="false" outlineLevel="0" collapsed="false">
      <c r="B6" s="8" t="s">
        <v>260</v>
      </c>
      <c r="C6" s="8" t="s">
        <v>261</v>
      </c>
      <c r="D6" s="30" t="s">
        <v>181</v>
      </c>
      <c r="E6" s="30" t="s">
        <v>182</v>
      </c>
      <c r="F6" s="30" t="s">
        <v>184</v>
      </c>
      <c r="G6" s="30" t="s">
        <v>183</v>
      </c>
      <c r="H6" s="30" t="s">
        <v>183</v>
      </c>
      <c r="I6" s="30" t="s">
        <v>183</v>
      </c>
      <c r="J6" s="30" t="s">
        <v>183</v>
      </c>
      <c r="K6" s="30" t="s">
        <v>183</v>
      </c>
    </row>
    <row r="7" customFormat="false" ht="15" hidden="false" customHeight="false" outlineLevel="0" collapsed="false">
      <c r="B7" s="8" t="s">
        <v>262</v>
      </c>
      <c r="C7" s="8" t="s">
        <v>261</v>
      </c>
      <c r="D7" s="30" t="s">
        <v>181</v>
      </c>
      <c r="E7" s="30" t="s">
        <v>182</v>
      </c>
      <c r="F7" s="30" t="s">
        <v>184</v>
      </c>
      <c r="G7" s="30" t="s">
        <v>198</v>
      </c>
      <c r="H7" s="30" t="s">
        <v>183</v>
      </c>
      <c r="I7" s="30" t="s">
        <v>183</v>
      </c>
      <c r="J7" s="30" t="s">
        <v>183</v>
      </c>
      <c r="K7" s="30" t="s">
        <v>183</v>
      </c>
    </row>
    <row r="8" customFormat="false" ht="15" hidden="false" customHeight="false" outlineLevel="0" collapsed="false">
      <c r="B8" s="8" t="s">
        <v>263</v>
      </c>
      <c r="C8" s="8" t="s">
        <v>264</v>
      </c>
      <c r="D8" s="30" t="n">
        <v>0</v>
      </c>
      <c r="E8" s="30" t="n">
        <v>0</v>
      </c>
      <c r="F8" s="30" t="n">
        <v>0</v>
      </c>
      <c r="G8" s="30" t="n">
        <v>0</v>
      </c>
      <c r="H8" s="31" t="n">
        <v>1</v>
      </c>
      <c r="I8" s="30" t="n">
        <v>1</v>
      </c>
      <c r="J8" s="30" t="n">
        <v>1</v>
      </c>
      <c r="K8" s="30" t="n">
        <v>1</v>
      </c>
    </row>
    <row r="9" customFormat="false" ht="15" hidden="false" customHeight="false" outlineLevel="0" collapsed="false">
      <c r="B9" s="8" t="s">
        <v>265</v>
      </c>
      <c r="C9" s="8" t="s">
        <v>266</v>
      </c>
      <c r="D9" s="30" t="n">
        <v>12</v>
      </c>
      <c r="E9" s="30" t="n">
        <v>12</v>
      </c>
      <c r="F9" s="30" t="n">
        <v>12</v>
      </c>
      <c r="G9" s="30" t="n">
        <v>12</v>
      </c>
      <c r="H9" s="31" t="n">
        <v>12</v>
      </c>
      <c r="I9" s="30" t="n">
        <v>12</v>
      </c>
      <c r="J9" s="30" t="n">
        <v>12</v>
      </c>
      <c r="K9" s="30" t="n">
        <v>12</v>
      </c>
    </row>
    <row r="10" customFormat="false" ht="15" hidden="false" customHeight="false" outlineLevel="0" collapsed="false">
      <c r="B10" s="8" t="s">
        <v>267</v>
      </c>
      <c r="C10" s="8" t="s">
        <v>268</v>
      </c>
      <c r="D10" s="32" t="n">
        <v>0.071752</v>
      </c>
      <c r="E10" s="32" t="n">
        <v>0.071752</v>
      </c>
      <c r="F10" s="32" t="n">
        <v>0.071752</v>
      </c>
      <c r="G10" s="32" t="n">
        <v>0.071752</v>
      </c>
      <c r="H10" s="32" t="n">
        <v>0.071752</v>
      </c>
      <c r="I10" s="32" t="n">
        <v>0.071752</v>
      </c>
      <c r="J10" s="32" t="n">
        <v>0.071752</v>
      </c>
      <c r="K10" s="32" t="n">
        <v>0.071752</v>
      </c>
    </row>
    <row r="11" customFormat="false" ht="15" hidden="false" customHeight="false" outlineLevel="0" collapsed="false">
      <c r="B11" s="8" t="s">
        <v>269</v>
      </c>
      <c r="C11" s="8" t="s">
        <v>270</v>
      </c>
      <c r="D11" s="33" t="n">
        <v>1.5</v>
      </c>
      <c r="E11" s="33" t="n">
        <v>1.5</v>
      </c>
      <c r="F11" s="33" t="n">
        <v>1.5</v>
      </c>
      <c r="G11" s="33" t="n">
        <v>1.5</v>
      </c>
      <c r="H11" s="34" t="n">
        <v>1.5</v>
      </c>
      <c r="I11" s="33" t="n">
        <v>1.5</v>
      </c>
      <c r="J11" s="33" t="n">
        <v>1.5</v>
      </c>
      <c r="K11" s="33" t="n">
        <v>1.5</v>
      </c>
    </row>
    <row r="12" customFormat="false" ht="15" hidden="false" customHeight="false" outlineLevel="0" collapsed="false">
      <c r="B12" s="8" t="s">
        <v>271</v>
      </c>
      <c r="C12" s="8" t="s">
        <v>272</v>
      </c>
      <c r="D12" s="33" t="n">
        <v>0.75</v>
      </c>
      <c r="E12" s="33" t="n">
        <v>0.75</v>
      </c>
      <c r="F12" s="33" t="n">
        <v>0.75</v>
      </c>
      <c r="G12" s="33" t="n">
        <v>0.75</v>
      </c>
      <c r="H12" s="34" t="n">
        <v>0.75</v>
      </c>
      <c r="I12" s="33" t="n">
        <v>0.55</v>
      </c>
      <c r="J12" s="33" t="n">
        <v>0.75</v>
      </c>
      <c r="K12" s="33" t="n">
        <v>0.75</v>
      </c>
    </row>
    <row r="13" customFormat="false" ht="15" hidden="false" customHeight="false" outlineLevel="0" collapsed="false">
      <c r="B13" s="8" t="s">
        <v>273</v>
      </c>
      <c r="C13" s="8" t="s">
        <v>264</v>
      </c>
      <c r="D13" s="30" t="n">
        <v>1</v>
      </c>
      <c r="E13" s="30" t="n">
        <v>1</v>
      </c>
      <c r="F13" s="30" t="n">
        <v>1</v>
      </c>
      <c r="G13" s="30" t="n">
        <v>1</v>
      </c>
      <c r="H13" s="30" t="n">
        <v>1</v>
      </c>
      <c r="I13" s="30" t="n">
        <v>1</v>
      </c>
      <c r="J13" s="30" t="n">
        <v>1</v>
      </c>
      <c r="K13" s="30" t="n">
        <v>0</v>
      </c>
    </row>
    <row r="14" customFormat="false" ht="15" hidden="false" customHeight="false" outlineLevel="0" collapsed="false">
      <c r="B14" s="8" t="s">
        <v>274</v>
      </c>
      <c r="C14" s="8" t="s">
        <v>93</v>
      </c>
      <c r="D14" s="35" t="n">
        <f aca="false">Исходные!$C$47</f>
        <v>56100</v>
      </c>
      <c r="E14" s="35" t="n">
        <f aca="false">Исходные!$C$47</f>
        <v>56100</v>
      </c>
      <c r="F14" s="35" t="n">
        <f aca="false">Исходные!$C$47</f>
        <v>56100</v>
      </c>
      <c r="G14" s="35" t="n">
        <f aca="false">Исходные!$C$47</f>
        <v>56100</v>
      </c>
      <c r="H14" s="36" t="n">
        <f aca="false">Исходные!$C$47</f>
        <v>56100</v>
      </c>
      <c r="I14" s="35" t="n">
        <f aca="false">Исходные!$C$47</f>
        <v>56100</v>
      </c>
      <c r="J14" s="30" t="n">
        <v>40000</v>
      </c>
      <c r="K14" s="35" t="n">
        <f aca="false">Исходные!$C$47</f>
        <v>56100</v>
      </c>
    </row>
    <row r="15" customFormat="false" ht="15" hidden="false" customHeight="false" outlineLevel="0" collapsed="false">
      <c r="B15" s="8" t="s">
        <v>275</v>
      </c>
      <c r="C15" s="8" t="s">
        <v>93</v>
      </c>
      <c r="D15" s="35" t="n">
        <f aca="false">Исходные!$C$48</f>
        <v>64500</v>
      </c>
      <c r="E15" s="35" t="n">
        <f aca="false">Исходные!$C$48</f>
        <v>64500</v>
      </c>
      <c r="F15" s="35" t="n">
        <f aca="false">Исходные!$C$48</f>
        <v>64500</v>
      </c>
      <c r="G15" s="35" t="n">
        <f aca="false">Исходные!$C$48</f>
        <v>64500</v>
      </c>
      <c r="H15" s="35" t="n">
        <f aca="false">Исходные!$C$48</f>
        <v>64500</v>
      </c>
      <c r="I15" s="35" t="n">
        <f aca="false">Исходные!$C$48</f>
        <v>64500</v>
      </c>
      <c r="J15" s="30" t="n">
        <v>47500</v>
      </c>
      <c r="K15" s="35" t="n">
        <f aca="false">Исходные!$C$48</f>
        <v>64500</v>
      </c>
    </row>
    <row r="16" customFormat="false" ht="15" hidden="false" customHeight="false" outlineLevel="0" collapsed="false">
      <c r="B16" s="8" t="s">
        <v>276</v>
      </c>
      <c r="C16" s="8" t="s">
        <v>77</v>
      </c>
      <c r="D16" s="35" t="n">
        <f aca="false">Исходные!$C$13</f>
        <v>4705</v>
      </c>
      <c r="E16" s="35" t="n">
        <f aca="false">Исходные!$C$13</f>
        <v>4705</v>
      </c>
      <c r="F16" s="35" t="n">
        <f aca="false">Исходные!$C$13</f>
        <v>4705</v>
      </c>
      <c r="G16" s="35" t="n">
        <f aca="false">Исходные!$C$13</f>
        <v>4705</v>
      </c>
      <c r="H16" s="35" t="n">
        <f aca="false">Исходные!$C$13</f>
        <v>4705</v>
      </c>
      <c r="I16" s="35" t="n">
        <f aca="false">Исходные!$C$13</f>
        <v>4705</v>
      </c>
      <c r="J16" s="35" t="n">
        <f aca="false">Исходные!$C$13</f>
        <v>4705</v>
      </c>
      <c r="K16" s="35" t="n">
        <f aca="false">Исходные!$C$13</f>
        <v>4705</v>
      </c>
    </row>
    <row r="17" customFormat="false" ht="15" hidden="false" customHeight="false" outlineLevel="0" collapsed="false">
      <c r="B17" s="8" t="s">
        <v>277</v>
      </c>
      <c r="C17" s="8" t="s">
        <v>81</v>
      </c>
      <c r="D17" s="35" t="n">
        <f aca="false">Исходные!$C$14</f>
        <v>65</v>
      </c>
      <c r="E17" s="35" t="n">
        <f aca="false">Исходные!$C$14</f>
        <v>65</v>
      </c>
      <c r="F17" s="35" t="n">
        <f aca="false">Исходные!$C$14</f>
        <v>65</v>
      </c>
      <c r="G17" s="35" t="n">
        <f aca="false">Исходные!$C$14</f>
        <v>65</v>
      </c>
      <c r="H17" s="35" t="n">
        <f aca="false">Исходные!$C$14</f>
        <v>65</v>
      </c>
      <c r="I17" s="35" t="n">
        <f aca="false">Исходные!$C$14</f>
        <v>65</v>
      </c>
      <c r="J17" s="35" t="n">
        <f aca="false">Исходные!$C$14</f>
        <v>65</v>
      </c>
      <c r="K17" s="35" t="n">
        <f aca="false">Исходные!$C$14</f>
        <v>65</v>
      </c>
    </row>
    <row r="18" customFormat="false" ht="15" hidden="false" customHeight="false" outlineLevel="0" collapsed="false">
      <c r="B18" s="8" t="s">
        <v>278</v>
      </c>
      <c r="C18" s="8" t="s">
        <v>100</v>
      </c>
      <c r="D18" s="37" t="n">
        <v>0.1</v>
      </c>
      <c r="E18" s="37" t="n">
        <v>0.1</v>
      </c>
      <c r="F18" s="37" t="n">
        <v>0.1</v>
      </c>
      <c r="G18" s="37" t="n">
        <v>0.1</v>
      </c>
      <c r="H18" s="37" t="n">
        <v>0.1</v>
      </c>
      <c r="I18" s="37" t="n">
        <v>0.1</v>
      </c>
      <c r="J18" s="37" t="n">
        <v>0.1</v>
      </c>
      <c r="K18" s="37" t="n">
        <v>0.1</v>
      </c>
    </row>
    <row r="19" customFormat="false" ht="15" hidden="false" customHeight="false" outlineLevel="0" collapsed="false">
      <c r="B19" s="8" t="s">
        <v>279</v>
      </c>
      <c r="C19" s="8" t="s">
        <v>280</v>
      </c>
      <c r="D19" s="30" t="n">
        <v>1</v>
      </c>
      <c r="E19" s="30" t="n">
        <v>1</v>
      </c>
      <c r="F19" s="30" t="n">
        <v>1</v>
      </c>
      <c r="G19" s="30" t="n">
        <v>1</v>
      </c>
      <c r="H19" s="30" t="n">
        <v>1</v>
      </c>
      <c r="I19" s="30" t="n">
        <v>1</v>
      </c>
      <c r="J19" s="30" t="n">
        <v>1</v>
      </c>
      <c r="K19" s="30" t="n">
        <v>1</v>
      </c>
    </row>
    <row r="20" customFormat="false" ht="15" hidden="false" customHeight="false" outlineLevel="0" collapsed="false">
      <c r="B20" s="8" t="s">
        <v>281</v>
      </c>
      <c r="C20" s="8" t="s">
        <v>280</v>
      </c>
      <c r="D20" s="30" t="n">
        <v>1</v>
      </c>
      <c r="E20" s="30" t="n">
        <v>1</v>
      </c>
      <c r="F20" s="30" t="n">
        <v>1</v>
      </c>
      <c r="G20" s="30" t="n">
        <v>1</v>
      </c>
      <c r="H20" s="30" t="n">
        <v>1</v>
      </c>
      <c r="I20" s="30" t="n">
        <v>1</v>
      </c>
      <c r="J20" s="30" t="n">
        <v>1</v>
      </c>
      <c r="K20" s="30" t="n">
        <v>1</v>
      </c>
    </row>
    <row r="21" customFormat="false" ht="15" hidden="false" customHeight="false" outlineLevel="0" collapsed="false">
      <c r="B21" s="8" t="s">
        <v>282</v>
      </c>
      <c r="C21" s="8" t="s">
        <v>270</v>
      </c>
      <c r="D21" s="30" t="n">
        <v>4</v>
      </c>
      <c r="E21" s="30" t="n">
        <v>4</v>
      </c>
      <c r="F21" s="30" t="n">
        <v>4</v>
      </c>
      <c r="G21" s="30" t="n">
        <v>4</v>
      </c>
      <c r="H21" s="31" t="n">
        <v>4</v>
      </c>
      <c r="I21" s="30" t="n">
        <v>4</v>
      </c>
      <c r="J21" s="30" t="n">
        <v>4</v>
      </c>
      <c r="K21" s="30" t="n">
        <v>4</v>
      </c>
    </row>
    <row r="22" customFormat="false" ht="15" hidden="false" customHeight="false" outlineLevel="0" collapsed="false">
      <c r="B22" s="8" t="s">
        <v>283</v>
      </c>
      <c r="C22" s="8" t="s">
        <v>270</v>
      </c>
      <c r="D22" s="30" t="n">
        <v>24</v>
      </c>
      <c r="E22" s="30" t="n">
        <v>24</v>
      </c>
      <c r="F22" s="30" t="n">
        <v>24</v>
      </c>
      <c r="G22" s="30" t="n">
        <v>24</v>
      </c>
      <c r="H22" s="30" t="n">
        <v>24</v>
      </c>
      <c r="I22" s="30" t="n">
        <v>24</v>
      </c>
      <c r="J22" s="30" t="n">
        <v>24</v>
      </c>
      <c r="K22" s="30" t="n">
        <v>24</v>
      </c>
    </row>
    <row r="23" customFormat="false" ht="15" hidden="false" customHeight="false" outlineLevel="0" collapsed="false">
      <c r="B23" s="8" t="s">
        <v>284</v>
      </c>
      <c r="C23" s="8" t="s">
        <v>270</v>
      </c>
      <c r="D23" s="30" t="n">
        <v>10.75</v>
      </c>
      <c r="E23" s="30" t="n">
        <v>10.75</v>
      </c>
      <c r="F23" s="30" t="n">
        <v>10.75</v>
      </c>
      <c r="G23" s="30" t="n">
        <v>10.75</v>
      </c>
      <c r="H23" s="30" t="n">
        <v>10.75</v>
      </c>
      <c r="I23" s="30" t="n">
        <v>10.75</v>
      </c>
      <c r="J23" s="30" t="n">
        <v>10.75</v>
      </c>
      <c r="K23" s="30" t="n">
        <v>10.75</v>
      </c>
    </row>
    <row r="24" customFormat="false" ht="15" hidden="false" customHeight="false" outlineLevel="0" collapsed="false">
      <c r="B24" s="8" t="s">
        <v>285</v>
      </c>
      <c r="C24" s="8" t="s">
        <v>286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0</v>
      </c>
      <c r="I24" s="30" t="n">
        <v>0</v>
      </c>
      <c r="J24" s="30" t="n">
        <v>0</v>
      </c>
      <c r="K24" s="30" t="n">
        <v>0</v>
      </c>
    </row>
    <row r="26" customFormat="false" ht="54.75" hidden="false" customHeight="true" outlineLevel="0" collapsed="false">
      <c r="B26" s="3" t="s">
        <v>287</v>
      </c>
      <c r="D26" s="4" t="s">
        <v>288</v>
      </c>
      <c r="E26" s="4" t="s">
        <v>289</v>
      </c>
      <c r="F26" s="4" t="s">
        <v>290</v>
      </c>
      <c r="G26" s="4" t="s">
        <v>291</v>
      </c>
      <c r="H26" s="4" t="s">
        <v>292</v>
      </c>
      <c r="I26" s="4" t="s">
        <v>293</v>
      </c>
      <c r="J26" s="4" t="s">
        <v>294</v>
      </c>
      <c r="K26" s="4" t="s">
        <v>295</v>
      </c>
    </row>
    <row r="28" customFormat="false" ht="15" hidden="false" customHeight="false" outlineLevel="0" collapsed="false">
      <c r="B28" s="2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297</v>
      </c>
    </row>
    <row r="3" customFormat="false" ht="15" hidden="false" customHeight="false" outlineLevel="0" collapsed="false">
      <c r="B3" s="2" t="s">
        <v>298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15.105131949982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0.107410942059731</v>
      </c>
    </row>
    <row r="7" customFormat="false" ht="15" hidden="false" customHeight="false" outlineLevel="0" collapsed="false">
      <c r="B7" s="8" t="s">
        <v>32</v>
      </c>
      <c r="C7" s="40" t="n">
        <f aca="false">IF(SUM(E109:AR109)=0,"нет",2067-SUM(E109:AR109))</f>
        <v>2050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1.06137075395113</v>
      </c>
    </row>
    <row r="9" customFormat="false" ht="15" hidden="false" customHeight="false" outlineLevel="0" collapsed="false">
      <c r="B9" s="8" t="s">
        <v>34</v>
      </c>
      <c r="C9" s="41" t="n">
        <f aca="false">D93</f>
        <v>347.055830986988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Сценарии!$D$6</f>
        <v>A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Сценарии!$D$7</f>
        <v>A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Сценарии!$D$8</f>
        <v>0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Сценарии!$D$9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Сценарии!$D$10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Сценарии!$D$11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Сценарии!$D$12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Сценарии!$D$13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Сценарии!$D$14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Сценарии!$D$15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Сценарии!$D$16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Сценарии!$D$17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Сценарии!$D$18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Сценарии!$D$19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Сценарии!$D$20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Сценарии!$D$21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Сценарии!$D$22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Сценарии!$D$23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Сценарии!$D$24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37.3202003204887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989.859929964982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36.697220793135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5220.15616989442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0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</v>
      </c>
      <c r="L59" s="54" t="n">
        <f aca="false">IF(AND($D$17=1,L46&gt;=Исходные!$C$42,L52&gt;0),$D$44,0)</f>
        <v>0</v>
      </c>
      <c r="M59" s="54" t="n">
        <f aca="false">IF(AND($D$17=1,M46&gt;=Исходные!$C$42,M52&gt;0),$D$44,0)</f>
        <v>0</v>
      </c>
      <c r="N59" s="54" t="n">
        <f aca="false">IF(AND($D$17=1,N46&gt;=Исходные!$C$42,N52&gt;0),$D$44,0)</f>
        <v>0</v>
      </c>
      <c r="O59" s="54" t="n">
        <f aca="false">IF(AND($D$17=1,O46&gt;=Исходные!$C$42,O52&gt;0),$D$44,0)</f>
        <v>0</v>
      </c>
      <c r="P59" s="54" t="n">
        <f aca="false">IF(AND($D$17=1,P46&gt;=Исходные!$C$42,P52&gt;0),$D$44,0)</f>
        <v>0</v>
      </c>
      <c r="Q59" s="54" t="n">
        <f aca="false">IF(AND($D$17=1,Q46&gt;=Исходные!$C$42,Q52&gt;0),$D$44,0)</f>
        <v>0</v>
      </c>
      <c r="R59" s="54" t="n">
        <f aca="false">IF(AND($D$17=1,R46&gt;=Исходные!$C$42,R52&gt;0),$D$44,0)</f>
        <v>0</v>
      </c>
      <c r="S59" s="54" t="n">
        <f aca="false">IF(AND($D$17=1,S46&gt;=Исходные!$C$42,S52&gt;0),$D$44,0)</f>
        <v>0</v>
      </c>
      <c r="T59" s="54" t="n">
        <f aca="false">IF(AND($D$17=1,T46&gt;=Исходные!$C$42,T52&gt;0),$D$44,0)</f>
        <v>0</v>
      </c>
      <c r="U59" s="54" t="n">
        <f aca="false">IF(AND($D$17=1,U46&gt;=Исходные!$C$42,U52&gt;0),$D$44,0)</f>
        <v>0</v>
      </c>
      <c r="V59" s="54" t="n">
        <f aca="false">IF(AND($D$17=1,V46&gt;=Исходные!$C$42,V52&gt;0),$D$44,0)</f>
        <v>0</v>
      </c>
      <c r="W59" s="54" t="n">
        <f aca="false">IF(AND($D$17=1,W46&gt;=Исходные!$C$42,W52&gt;0),$D$44,0)</f>
        <v>0</v>
      </c>
      <c r="X59" s="54" t="n">
        <f aca="false">IF(AND($D$17=1,X46&gt;=Исходные!$C$42,X52&gt;0),$D$44,0)</f>
        <v>0</v>
      </c>
      <c r="Y59" s="54" t="n">
        <f aca="false">IF(AND($D$17=1,Y46&gt;=Исходные!$C$42,Y52&gt;0),$D$44,0)</f>
        <v>0</v>
      </c>
      <c r="Z59" s="54" t="n">
        <f aca="false">IF(AND($D$17=1,Z46&gt;=Исходные!$C$42,Z52&gt;0),$D$44,0)</f>
        <v>0</v>
      </c>
      <c r="AA59" s="54" t="n">
        <f aca="false">IF(AND($D$17=1,AA46&gt;=Исходные!$C$42,AA52&gt;0),$D$44,0)</f>
        <v>0</v>
      </c>
      <c r="AB59" s="54" t="n">
        <f aca="false">IF(AND($D$17=1,AB46&gt;=Исходные!$C$42,AB52&gt;0),$D$44,0)</f>
        <v>0</v>
      </c>
      <c r="AC59" s="54" t="n">
        <f aca="false">IF(AND($D$17=1,AC46&gt;=Исходные!$C$42,AC52&gt;0),$D$44,0)</f>
        <v>0</v>
      </c>
      <c r="AD59" s="54" t="n">
        <f aca="false">IF(AND($D$17=1,AD46&gt;=Исходные!$C$42,AD52&gt;0),$D$44,0)</f>
        <v>0</v>
      </c>
      <c r="AE59" s="54" t="n">
        <f aca="false">IF(AND($D$17=1,AE46&gt;=Исходные!$C$42,AE52&gt;0),$D$44,0)</f>
        <v>0</v>
      </c>
      <c r="AF59" s="54" t="n">
        <f aca="false">IF(AND($D$17=1,AF46&gt;=Исходные!$C$42,AF52&gt;0),$D$44,0)</f>
        <v>0</v>
      </c>
      <c r="AG59" s="54" t="n">
        <f aca="false">IF(AND($D$17=1,AG46&gt;=Исходные!$C$42,AG52&gt;0),$D$44,0)</f>
        <v>0</v>
      </c>
      <c r="AH59" s="54" t="n">
        <f aca="false">IF(AND($D$17=1,AH46&gt;=Исходные!$C$42,AH52&gt;0),$D$44,0)</f>
        <v>0</v>
      </c>
      <c r="AI59" s="54" t="n">
        <f aca="false">IF(AND($D$17=1,AI46&gt;=Исходные!$C$42,AI52&gt;0),$D$44,0)</f>
        <v>0</v>
      </c>
      <c r="AJ59" s="54" t="n">
        <f aca="false">IF(AND($D$17=1,AJ46&gt;=Исходные!$C$42,AJ52&gt;0),$D$44,0)</f>
        <v>0</v>
      </c>
      <c r="AK59" s="54" t="n">
        <f aca="false">IF(AND($D$17=1,AK46&gt;=Исходные!$C$42,AK52&gt;0),$D$44,0)</f>
        <v>0</v>
      </c>
      <c r="AL59" s="54" t="n">
        <f aca="false">IF(AND($D$17=1,AL46&gt;=Исходные!$C$42,AL52&gt;0),$D$44,0)</f>
        <v>0</v>
      </c>
      <c r="AM59" s="54" t="n">
        <f aca="false">IF(AND($D$17=1,AM46&gt;=Исходные!$C$42,AM52&gt;0),$D$44,0)</f>
        <v>0</v>
      </c>
      <c r="AN59" s="54" t="n">
        <f aca="false">IF(AND($D$17=1,AN46&gt;=Исходные!$C$42,AN52&gt;0),$D$44,0)</f>
        <v>0</v>
      </c>
      <c r="AO59" s="54" t="n">
        <f aca="false">IF(AND($D$17=1,AO46&gt;=Исходные!$C$42,AO52&gt;0),$D$44,0)</f>
        <v>0</v>
      </c>
      <c r="AP59" s="54" t="n">
        <f aca="false">IF(AND($D$17=1,AP46&gt;=Исходные!$C$42,AP52&gt;0),$D$44,0)</f>
        <v>0</v>
      </c>
      <c r="AQ59" s="54" t="n">
        <f aca="false">IF(AND($D$17=1,AQ46&gt;=Исходные!$C$42,AQ52&gt;0),$D$44,0)</f>
        <v>0</v>
      </c>
      <c r="AR59" s="54" t="n">
        <f aca="false">IF(AND($D$17=1,AR46&gt;=Исходные!$C$42,AR52&gt;0),$D$44,0)</f>
        <v>0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263.957234680436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4.15741170585293</v>
      </c>
      <c r="J60" s="15" t="n">
        <f aca="false">J58*$D$37/1000-J59</f>
        <v>8.31482341170585</v>
      </c>
      <c r="K60" s="15" t="n">
        <f aca="false">K58*$D$37/1000-K59</f>
        <v>11.6407527763882</v>
      </c>
      <c r="L60" s="15" t="n">
        <f aca="false">L58*$D$37/1000-L59</f>
        <v>11.6407527763882</v>
      </c>
      <c r="M60" s="15" t="n">
        <f aca="false">M58*$D$37/1000-M59</f>
        <v>11.6407527763882</v>
      </c>
      <c r="N60" s="15" t="n">
        <f aca="false">N58*$D$37/1000-N59</f>
        <v>11.6407527763882</v>
      </c>
      <c r="O60" s="15" t="n">
        <f aca="false">O58*$D$37/1000-O59</f>
        <v>11.6407527763882</v>
      </c>
      <c r="P60" s="15" t="n">
        <f aca="false">P58*$D$37/1000-P59</f>
        <v>11.4625779889945</v>
      </c>
      <c r="Q60" s="15" t="n">
        <f aca="false">Q58*$D$37/1000-Q59</f>
        <v>11.4625779889945</v>
      </c>
      <c r="R60" s="15" t="n">
        <f aca="false">R58*$D$37/1000-R59</f>
        <v>11.4625779889945</v>
      </c>
      <c r="S60" s="15" t="n">
        <f aca="false">S58*$D$37/1000-S59</f>
        <v>11.4625779889945</v>
      </c>
      <c r="T60" s="15" t="n">
        <f aca="false">T58*$D$37/1000-T59</f>
        <v>11.4625779889945</v>
      </c>
      <c r="U60" s="15" t="n">
        <f aca="false">U58*$D$37/1000-U59</f>
        <v>11.4625779889945</v>
      </c>
      <c r="V60" s="15" t="n">
        <f aca="false">V58*$D$37/1000-V59</f>
        <v>10.6689285306167</v>
      </c>
      <c r="W60" s="15" t="n">
        <f aca="false">W58*$D$37/1000-W59</f>
        <v>9.93023001463491</v>
      </c>
      <c r="X60" s="15" t="n">
        <f aca="false">X58*$D$37/1000-X59</f>
        <v>9.2426777309995</v>
      </c>
      <c r="Y60" s="15" t="n">
        <f aca="false">Y58*$D$37/1000-Y59</f>
        <v>8.60273040133148</v>
      </c>
      <c r="Z60" s="15" t="n">
        <f aca="false">Z58*$D$37/1000-Z59</f>
        <v>8.0070919393605</v>
      </c>
      <c r="AA60" s="15" t="n">
        <f aca="false">AA58*$D$37/1000-AA59</f>
        <v>7.45269447423911</v>
      </c>
      <c r="AB60" s="15" t="n">
        <f aca="false">AB58*$D$37/1000-AB59</f>
        <v>6.93668254929394</v>
      </c>
      <c r="AC60" s="15" t="n">
        <f aca="false">AC58*$D$37/1000-AC59</f>
        <v>6.45639841482857</v>
      </c>
      <c r="AD60" s="15" t="n">
        <f aca="false">AD58*$D$37/1000-AD59</f>
        <v>6.00936833922779</v>
      </c>
      <c r="AE60" s="15" t="n">
        <f aca="false">AE58*$D$37/1000-AE59</f>
        <v>5.59328986785773</v>
      </c>
      <c r="AF60" s="15" t="n">
        <f aca="false">AF58*$D$37/1000-AF59</f>
        <v>5.20601996413821</v>
      </c>
      <c r="AG60" s="15" t="n">
        <f aca="false">AG58*$D$37/1000-AG59</f>
        <v>4.84556397170706</v>
      </c>
      <c r="AH60" s="15" t="n">
        <f aca="false">AH58*$D$37/1000-AH59</f>
        <v>4.51006534082554</v>
      </c>
      <c r="AI60" s="15" t="n">
        <f aca="false">AI58*$D$37/1000-AI59</f>
        <v>4.1977960661099</v>
      </c>
      <c r="AJ60" s="15" t="n">
        <f aca="false">AJ58*$D$37/1000-AJ59</f>
        <v>3.90714778633834</v>
      </c>
      <c r="AK60" s="15" t="n">
        <f aca="false">AK58*$D$37/1000-AK59</f>
        <v>3.6366235004921</v>
      </c>
      <c r="AL60" s="15" t="n">
        <f aca="false">AL58*$D$37/1000-AL59</f>
        <v>3.38482985736394</v>
      </c>
      <c r="AM60" s="15" t="n">
        <f aca="false">AM58*$D$37/1000-AM59</f>
        <v>3.15046997902094</v>
      </c>
      <c r="AN60" s="15" t="n">
        <f aca="false">AN58*$D$37/1000-AN59</f>
        <v>2.93233678115862</v>
      </c>
      <c r="AO60" s="15" t="n">
        <f aca="false">AO58*$D$37/1000-AO59</f>
        <v>2.72930675594245</v>
      </c>
      <c r="AP60" s="15" t="n">
        <f aca="false">AP58*$D$37/1000-AP59</f>
        <v>2.54033418531476</v>
      </c>
      <c r="AQ60" s="15" t="n">
        <f aca="false">AQ58*$D$37/1000-AQ59</f>
        <v>2.36444575496258</v>
      </c>
      <c r="AR60" s="15" t="n">
        <f aca="false">AR58*$D$37/1000-AR59</f>
        <v>2.20073554120513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9.95184932343368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0.156744841346052</v>
      </c>
      <c r="J61" s="54" t="n">
        <f aca="false">J58*$D$34/1000</f>
        <v>0.313489682692105</v>
      </c>
      <c r="K61" s="54" t="n">
        <f aca="false">K58*$D$34/1000</f>
        <v>0.438885555768947</v>
      </c>
      <c r="L61" s="54" t="n">
        <f aca="false">L58*$D$34/1000</f>
        <v>0.438885555768947</v>
      </c>
      <c r="M61" s="54" t="n">
        <f aca="false">M58*$D$34/1000</f>
        <v>0.438885555768947</v>
      </c>
      <c r="N61" s="54" t="n">
        <f aca="false">N58*$D$34/1000</f>
        <v>0.438885555768947</v>
      </c>
      <c r="O61" s="54" t="n">
        <f aca="false">O58*$D$34/1000</f>
        <v>0.438885555768947</v>
      </c>
      <c r="P61" s="54" t="n">
        <f aca="false">P58*$D$34/1000</f>
        <v>0.432167919711259</v>
      </c>
      <c r="Q61" s="54" t="n">
        <f aca="false">Q58*$D$34/1000</f>
        <v>0.432167919711259</v>
      </c>
      <c r="R61" s="54" t="n">
        <f aca="false">R58*$D$34/1000</f>
        <v>0.432167919711259</v>
      </c>
      <c r="S61" s="54" t="n">
        <f aca="false">S58*$D$34/1000</f>
        <v>0.432167919711259</v>
      </c>
      <c r="T61" s="54" t="n">
        <f aca="false">T58*$D$34/1000</f>
        <v>0.432167919711259</v>
      </c>
      <c r="U61" s="54" t="n">
        <f aca="false">U58*$D$34/1000</f>
        <v>0.432167919711259</v>
      </c>
      <c r="V61" s="54" t="n">
        <f aca="false">V58*$D$34/1000</f>
        <v>0.402245345946751</v>
      </c>
      <c r="W61" s="54" t="n">
        <f aca="false">W58*$D$34/1000</f>
        <v>0.374394560438278</v>
      </c>
      <c r="X61" s="54" t="n">
        <f aca="false">X58*$D$34/1000</f>
        <v>0.348472116080932</v>
      </c>
      <c r="Y61" s="54" t="n">
        <f aca="false">Y58*$D$34/1000</f>
        <v>0.324344497804054</v>
      </c>
      <c r="Z61" s="54" t="n">
        <f aca="false">Z58*$D$34/1000</f>
        <v>0.301887434894021</v>
      </c>
      <c r="AA61" s="54" t="n">
        <f aca="false">AA58*$D$34/1000</f>
        <v>0.280985260930647</v>
      </c>
      <c r="AB61" s="54" t="n">
        <f aca="false">AB58*$D$34/1000</f>
        <v>0.261530318040499</v>
      </c>
      <c r="AC61" s="54" t="n">
        <f aca="false">AC58*$D$34/1000</f>
        <v>0.243422402398703</v>
      </c>
      <c r="AD61" s="54" t="n">
        <f aca="false">AD58*$D$34/1000</f>
        <v>0.226568248123264</v>
      </c>
      <c r="AE61" s="54" t="n">
        <f aca="false">AE58*$D$34/1000</f>
        <v>0.210881046903671</v>
      </c>
      <c r="AF61" s="54" t="n">
        <f aca="false">AF58*$D$34/1000</f>
        <v>0.196280000889595</v>
      </c>
      <c r="AG61" s="54" t="n">
        <f aca="false">AG58*$D$34/1000</f>
        <v>0.182689906536824</v>
      </c>
      <c r="AH61" s="54" t="n">
        <f aca="false">AH58*$D$34/1000</f>
        <v>0.170040767266998</v>
      </c>
      <c r="AI61" s="54" t="n">
        <f aca="false">AI58*$D$34/1000</f>
        <v>0.158267432946117</v>
      </c>
      <c r="AJ61" s="54" t="n">
        <f aca="false">AJ58*$D$34/1000</f>
        <v>0.147309264324963</v>
      </c>
      <c r="AK61" s="54" t="n">
        <f aca="false">AK58*$D$34/1000</f>
        <v>0.137109820713081</v>
      </c>
      <c r="AL61" s="54" t="n">
        <f aca="false">AL58*$D$34/1000</f>
        <v>0.127616569277698</v>
      </c>
      <c r="AM61" s="54" t="n">
        <f aca="false">AM58*$D$34/1000</f>
        <v>0.118780614470278</v>
      </c>
      <c r="AN61" s="54" t="n">
        <f aca="false">AN58*$D$34/1000</f>
        <v>0.110556446187137</v>
      </c>
      <c r="AO61" s="54" t="n">
        <f aca="false">AO58*$D$34/1000</f>
        <v>0.102901705366979</v>
      </c>
      <c r="AP61" s="54" t="n">
        <f aca="false">AP58*$D$34/1000</f>
        <v>0.0957769658180691</v>
      </c>
      <c r="AQ61" s="54" t="n">
        <f aca="false">AQ58*$D$34/1000</f>
        <v>0.0891455311513158</v>
      </c>
      <c r="AR61" s="54" t="n">
        <f aca="false">AR58*$D$34/1000</f>
        <v>0.0829732457733691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0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</v>
      </c>
      <c r="L64" s="54" t="n">
        <f aca="false">IF(L59&gt;0,Исходные!$C$39/1000,0)</f>
        <v>0</v>
      </c>
      <c r="M64" s="54" t="n">
        <f aca="false">IF(M59&gt;0,Исходные!$C$39/1000,0)</f>
        <v>0</v>
      </c>
      <c r="N64" s="54" t="n">
        <f aca="false">IF(N59&gt;0,Исходные!$C$39/1000,0)</f>
        <v>0</v>
      </c>
      <c r="O64" s="54" t="n">
        <f aca="false">IF(O59&gt;0,Исходные!$C$39/1000,0)</f>
        <v>0</v>
      </c>
      <c r="P64" s="54" t="n">
        <f aca="false">IF(P59&gt;0,Исходные!$C$39/1000,0)</f>
        <v>0</v>
      </c>
      <c r="Q64" s="54" t="n">
        <f aca="false">IF(Q59&gt;0,Исходные!$C$39/1000,0)</f>
        <v>0</v>
      </c>
      <c r="R64" s="54" t="n">
        <f aca="false">IF(R59&gt;0,Исходные!$C$39/1000,0)</f>
        <v>0</v>
      </c>
      <c r="S64" s="54" t="n">
        <f aca="false">IF(S59&gt;0,Исходные!$C$39/1000,0)</f>
        <v>0</v>
      </c>
      <c r="T64" s="54" t="n">
        <f aca="false">IF(T59&gt;0,Исходные!$C$39/1000,0)</f>
        <v>0</v>
      </c>
      <c r="U64" s="54" t="n">
        <f aca="false">IF(U59&gt;0,Исходные!$C$39/1000,0)</f>
        <v>0</v>
      </c>
      <c r="V64" s="54" t="n">
        <f aca="false">IF(V59&gt;0,Исходные!$C$39/1000,0)</f>
        <v>0</v>
      </c>
      <c r="W64" s="54" t="n">
        <f aca="false">IF(W59&gt;0,Исходные!$C$39/1000,0)</f>
        <v>0</v>
      </c>
      <c r="X64" s="54" t="n">
        <f aca="false">IF(X59&gt;0,Исходные!$C$39/1000,0)</f>
        <v>0</v>
      </c>
      <c r="Y64" s="54" t="n">
        <f aca="false">IF(Y59&gt;0,Исходные!$C$39/1000,0)</f>
        <v>0</v>
      </c>
      <c r="Z64" s="54" t="n">
        <f aca="false">IF(Z59&gt;0,Исходные!$C$39/1000,0)</f>
        <v>0</v>
      </c>
      <c r="AA64" s="54" t="n">
        <f aca="false">IF(AA59&gt;0,Исходные!$C$39/1000,0)</f>
        <v>0</v>
      </c>
      <c r="AB64" s="54" t="n">
        <f aca="false">IF(AB59&gt;0,Исходные!$C$39/1000,0)</f>
        <v>0</v>
      </c>
      <c r="AC64" s="54" t="n">
        <f aca="false">IF(AC59&gt;0,Исходные!$C$39/1000,0)</f>
        <v>0</v>
      </c>
      <c r="AD64" s="54" t="n">
        <f aca="false">IF(AD59&gt;0,Исходные!$C$39/1000,0)</f>
        <v>0</v>
      </c>
      <c r="AE64" s="54" t="n">
        <f aca="false">IF(AE59&gt;0,Исходные!$C$39/1000,0)</f>
        <v>0</v>
      </c>
      <c r="AF64" s="54" t="n">
        <f aca="false">IF(AF59&gt;0,Исходные!$C$39/1000,0)</f>
        <v>0</v>
      </c>
      <c r="AG64" s="54" t="n">
        <f aca="false">IF(AG59&gt;0,Исходные!$C$39/1000,0)</f>
        <v>0</v>
      </c>
      <c r="AH64" s="54" t="n">
        <f aca="false">IF(AH59&gt;0,Исходные!$C$39/1000,0)</f>
        <v>0</v>
      </c>
      <c r="AI64" s="54" t="n">
        <f aca="false">IF(AI59&gt;0,Исходные!$C$39/1000,0)</f>
        <v>0</v>
      </c>
      <c r="AJ64" s="54" t="n">
        <f aca="false">IF(AJ59&gt;0,Исходные!$C$39/1000,0)</f>
        <v>0</v>
      </c>
      <c r="AK64" s="54" t="n">
        <f aca="false">IF(AK59&gt;0,Исходные!$C$39/1000,0)</f>
        <v>0</v>
      </c>
      <c r="AL64" s="54" t="n">
        <f aca="false">IF(AL59&gt;0,Исходные!$C$39/1000,0)</f>
        <v>0</v>
      </c>
      <c r="AM64" s="54" t="n">
        <f aca="false">IF(AM59&gt;0,Исходные!$C$39/1000,0)</f>
        <v>0</v>
      </c>
      <c r="AN64" s="54" t="n">
        <f aca="false">IF(AN59&gt;0,Исходные!$C$39/1000,0)</f>
        <v>0</v>
      </c>
      <c r="AO64" s="54" t="n">
        <f aca="false">IF(AO59&gt;0,Исходные!$C$39/1000,0)</f>
        <v>0</v>
      </c>
      <c r="AP64" s="54" t="n">
        <f aca="false">IF(AP59&gt;0,Исходные!$C$39/1000,0)</f>
        <v>0</v>
      </c>
      <c r="AQ64" s="54" t="n">
        <f aca="false">IF(AQ59&gt;0,Исходные!$C$39/1000,0)</f>
        <v>0</v>
      </c>
      <c r="AR64" s="54" t="n">
        <f aca="false">IF(AR59&gt;0,Исходные!$C$39/1000,0)</f>
        <v>0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0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</v>
      </c>
      <c r="L65" s="54" t="n">
        <f aca="false">IF(L59&gt;0,Исходные!$C$40/1000,0)</f>
        <v>0</v>
      </c>
      <c r="M65" s="54" t="n">
        <f aca="false">IF(M59&gt;0,Исходные!$C$40/1000,0)</f>
        <v>0</v>
      </c>
      <c r="N65" s="54" t="n">
        <f aca="false">IF(N59&gt;0,Исходные!$C$40/1000,0)</f>
        <v>0</v>
      </c>
      <c r="O65" s="54" t="n">
        <f aca="false">IF(O59&gt;0,Исходные!$C$40/1000,0)</f>
        <v>0</v>
      </c>
      <c r="P65" s="54" t="n">
        <f aca="false">IF(P59&gt;0,Исходные!$C$40/1000,0)</f>
        <v>0</v>
      </c>
      <c r="Q65" s="54" t="n">
        <f aca="false">IF(Q59&gt;0,Исходные!$C$40/1000,0)</f>
        <v>0</v>
      </c>
      <c r="R65" s="54" t="n">
        <f aca="false">IF(R59&gt;0,Исходные!$C$40/1000,0)</f>
        <v>0</v>
      </c>
      <c r="S65" s="54" t="n">
        <f aca="false">IF(S59&gt;0,Исходные!$C$40/1000,0)</f>
        <v>0</v>
      </c>
      <c r="T65" s="54" t="n">
        <f aca="false">IF(T59&gt;0,Исходные!$C$40/1000,0)</f>
        <v>0</v>
      </c>
      <c r="U65" s="54" t="n">
        <f aca="false">IF(U59&gt;0,Исходные!$C$40/1000,0)</f>
        <v>0</v>
      </c>
      <c r="V65" s="54" t="n">
        <f aca="false">IF(V59&gt;0,Исходные!$C$40/1000,0)</f>
        <v>0</v>
      </c>
      <c r="W65" s="54" t="n">
        <f aca="false">IF(W59&gt;0,Исходные!$C$40/1000,0)</f>
        <v>0</v>
      </c>
      <c r="X65" s="54" t="n">
        <f aca="false">IF(X59&gt;0,Исходные!$C$40/1000,0)</f>
        <v>0</v>
      </c>
      <c r="Y65" s="54" t="n">
        <f aca="false">IF(Y59&gt;0,Исходные!$C$40/1000,0)</f>
        <v>0</v>
      </c>
      <c r="Z65" s="54" t="n">
        <f aca="false">IF(Z59&gt;0,Исходные!$C$40/1000,0)</f>
        <v>0</v>
      </c>
      <c r="AA65" s="54" t="n">
        <f aca="false">IF(AA59&gt;0,Исходные!$C$40/1000,0)</f>
        <v>0</v>
      </c>
      <c r="AB65" s="54" t="n">
        <f aca="false">IF(AB59&gt;0,Исходные!$C$40/1000,0)</f>
        <v>0</v>
      </c>
      <c r="AC65" s="54" t="n">
        <f aca="false">IF(AC59&gt;0,Исходные!$C$40/1000,0)</f>
        <v>0</v>
      </c>
      <c r="AD65" s="54" t="n">
        <f aca="false">IF(AD59&gt;0,Исходные!$C$40/1000,0)</f>
        <v>0</v>
      </c>
      <c r="AE65" s="54" t="n">
        <f aca="false">IF(AE59&gt;0,Исходные!$C$40/1000,0)</f>
        <v>0</v>
      </c>
      <c r="AF65" s="54" t="n">
        <f aca="false">IF(AF59&gt;0,Исходные!$C$40/1000,0)</f>
        <v>0</v>
      </c>
      <c r="AG65" s="54" t="n">
        <f aca="false">IF(AG59&gt;0,Исходные!$C$40/1000,0)</f>
        <v>0</v>
      </c>
      <c r="AH65" s="54" t="n">
        <f aca="false">IF(AH59&gt;0,Исходные!$C$40/1000,0)</f>
        <v>0</v>
      </c>
      <c r="AI65" s="54" t="n">
        <f aca="false">IF(AI59&gt;0,Исходные!$C$40/1000,0)</f>
        <v>0</v>
      </c>
      <c r="AJ65" s="54" t="n">
        <f aca="false">IF(AJ59&gt;0,Исходные!$C$40/1000,0)</f>
        <v>0</v>
      </c>
      <c r="AK65" s="54" t="n">
        <f aca="false">IF(AK59&gt;0,Исходные!$C$40/1000,0)</f>
        <v>0</v>
      </c>
      <c r="AL65" s="54" t="n">
        <f aca="false">IF(AL59&gt;0,Исходные!$C$40/1000,0)</f>
        <v>0</v>
      </c>
      <c r="AM65" s="54" t="n">
        <f aca="false">IF(AM59&gt;0,Исходные!$C$40/1000,0)</f>
        <v>0</v>
      </c>
      <c r="AN65" s="54" t="n">
        <f aca="false">IF(AN59&gt;0,Исходные!$C$40/1000,0)</f>
        <v>0</v>
      </c>
      <c r="AO65" s="54" t="n">
        <f aca="false">IF(AO59&gt;0,Исходные!$C$40/1000,0)</f>
        <v>0</v>
      </c>
      <c r="AP65" s="54" t="n">
        <f aca="false">IF(AP59&gt;0,Исходные!$C$40/1000,0)</f>
        <v>0</v>
      </c>
      <c r="AQ65" s="54" t="n">
        <f aca="false">IF(AQ59&gt;0,Исходные!$C$40/1000,0)</f>
        <v>0</v>
      </c>
      <c r="AR65" s="54" t="n">
        <f aca="false">IF(AR59&gt;0,Исходные!$C$40/1000,0)</f>
        <v>0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</v>
      </c>
      <c r="L66" s="54" t="n">
        <f aca="false">IF(L59&gt;0,$D$43-L64-L65,0)</f>
        <v>0</v>
      </c>
      <c r="M66" s="54" t="n">
        <f aca="false">IF(M59&gt;0,$D$43-M64-M65,0)</f>
        <v>0</v>
      </c>
      <c r="N66" s="54" t="n">
        <f aca="false">IF(N59&gt;0,$D$43-N64-N65,0)</f>
        <v>0</v>
      </c>
      <c r="O66" s="54" t="n">
        <f aca="false">IF(O59&gt;0,$D$43-O64-O65,0)</f>
        <v>0</v>
      </c>
      <c r="P66" s="54" t="n">
        <f aca="false">IF(P59&gt;0,$D$43-P64-P65,0)</f>
        <v>0</v>
      </c>
      <c r="Q66" s="54" t="n">
        <f aca="false">IF(Q59&gt;0,$D$43-Q64-Q65,0)</f>
        <v>0</v>
      </c>
      <c r="R66" s="54" t="n">
        <f aca="false">IF(R59&gt;0,$D$43-R64-R65,0)</f>
        <v>0</v>
      </c>
      <c r="S66" s="54" t="n">
        <f aca="false">IF(S59&gt;0,$D$43-S64-S65,0)</f>
        <v>0</v>
      </c>
      <c r="T66" s="54" t="n">
        <f aca="false">IF(T59&gt;0,$D$43-T64-T65,0)</f>
        <v>0</v>
      </c>
      <c r="U66" s="54" t="n">
        <f aca="false">IF(U59&gt;0,$D$43-U64-U65,0)</f>
        <v>0</v>
      </c>
      <c r="V66" s="54" t="n">
        <f aca="false">IF(V59&gt;0,$D$43-V64-V65,0)</f>
        <v>0</v>
      </c>
      <c r="W66" s="54" t="n">
        <f aca="false">IF(W59&gt;0,$D$43-W64-W65,0)</f>
        <v>0</v>
      </c>
      <c r="X66" s="54" t="n">
        <f aca="false">IF(X59&gt;0,$D$43-X64-X65,0)</f>
        <v>0</v>
      </c>
      <c r="Y66" s="54" t="n">
        <f aca="false">IF(Y59&gt;0,$D$43-Y64-Y65,0)</f>
        <v>0</v>
      </c>
      <c r="Z66" s="54" t="n">
        <f aca="false">IF(Z59&gt;0,$D$43-Z64-Z65,0)</f>
        <v>0</v>
      </c>
      <c r="AA66" s="54" t="n">
        <f aca="false">IF(AA59&gt;0,$D$43-AA64-AA65,0)</f>
        <v>0</v>
      </c>
      <c r="AB66" s="54" t="n">
        <f aca="false">IF(AB59&gt;0,$D$43-AB64-AB65,0)</f>
        <v>0</v>
      </c>
      <c r="AC66" s="54" t="n">
        <f aca="false">IF(AC59&gt;0,$D$43-AC64-AC65,0)</f>
        <v>0</v>
      </c>
      <c r="AD66" s="54" t="n">
        <f aca="false">IF(AD59&gt;0,$D$43-AD64-AD65,0)</f>
        <v>0</v>
      </c>
      <c r="AE66" s="54" t="n">
        <f aca="false">IF(AE59&gt;0,$D$43-AE64-AE65,0)</f>
        <v>0</v>
      </c>
      <c r="AF66" s="54" t="n">
        <f aca="false">IF(AF59&gt;0,$D$43-AF64-AF65,0)</f>
        <v>0</v>
      </c>
      <c r="AG66" s="54" t="n">
        <f aca="false">IF(AG59&gt;0,$D$43-AG64-AG65,0)</f>
        <v>0</v>
      </c>
      <c r="AH66" s="54" t="n">
        <f aca="false">IF(AH59&gt;0,$D$43-AH64-AH65,0)</f>
        <v>0</v>
      </c>
      <c r="AI66" s="54" t="n">
        <f aca="false">IF(AI59&gt;0,$D$43-AI64-AI65,0)</f>
        <v>0</v>
      </c>
      <c r="AJ66" s="54" t="n">
        <f aca="false">IF(AJ59&gt;0,$D$43-AJ64-AJ65,0)</f>
        <v>0</v>
      </c>
      <c r="AK66" s="54" t="n">
        <f aca="false">IF(AK59&gt;0,$D$43-AK64-AK65,0)</f>
        <v>0</v>
      </c>
      <c r="AL66" s="54" t="n">
        <f aca="false">IF(AL59&gt;0,$D$43-AL64-AL65,0)</f>
        <v>0</v>
      </c>
      <c r="AM66" s="54" t="n">
        <f aca="false">IF(AM59&gt;0,$D$43-AM64-AM65,0)</f>
        <v>0</v>
      </c>
      <c r="AN66" s="54" t="n">
        <f aca="false">IF(AN59&gt;0,$D$43-AN64-AN65,0)</f>
        <v>0</v>
      </c>
      <c r="AO66" s="54" t="n">
        <f aca="false">IF(AO59&gt;0,$D$43-AO64-AO65,0)</f>
        <v>0</v>
      </c>
      <c r="AP66" s="54" t="n">
        <f aca="false">IF(AP59&gt;0,$D$43-AP64-AP65,0)</f>
        <v>0</v>
      </c>
      <c r="AQ66" s="54" t="n">
        <f aca="false">IF(AQ59&gt;0,$D$43-AQ64-AQ65,0)</f>
        <v>0</v>
      </c>
      <c r="AR66" s="54" t="n">
        <f aca="false">IF(AR59&gt;0,$D$43-AR64-AR65,0)</f>
        <v>0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1377.89798720535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21.7023383670994</v>
      </c>
      <c r="J68" s="15" t="n">
        <f aca="false">J60*$D$39/1000</f>
        <v>43.4046767341989</v>
      </c>
      <c r="K68" s="15" t="n">
        <f aca="false">K60*$D$39/1000</f>
        <v>60.7665474278784</v>
      </c>
      <c r="L68" s="15" t="n">
        <f aca="false">L60*$D$39/1000</f>
        <v>60.7665474278784</v>
      </c>
      <c r="M68" s="15" t="n">
        <f aca="false">M60*$D$39/1000</f>
        <v>60.7665474278784</v>
      </c>
      <c r="N68" s="15" t="n">
        <f aca="false">N60*$D$39/1000</f>
        <v>60.7665474278784</v>
      </c>
      <c r="O68" s="15" t="n">
        <f aca="false">O60*$D$39/1000</f>
        <v>60.7665474278784</v>
      </c>
      <c r="P68" s="15" t="n">
        <f aca="false">P60*$D$39/1000</f>
        <v>59.8364472121456</v>
      </c>
      <c r="Q68" s="15" t="n">
        <f aca="false">Q60*$D$39/1000</f>
        <v>59.8364472121456</v>
      </c>
      <c r="R68" s="15" t="n">
        <f aca="false">R60*$D$39/1000</f>
        <v>59.8364472121456</v>
      </c>
      <c r="S68" s="15" t="n">
        <f aca="false">S60*$D$39/1000</f>
        <v>59.8364472121456</v>
      </c>
      <c r="T68" s="15" t="n">
        <f aca="false">T60*$D$39/1000</f>
        <v>59.8364472121456</v>
      </c>
      <c r="U68" s="15" t="n">
        <f aca="false">U60*$D$39/1000</f>
        <v>59.8364472121456</v>
      </c>
      <c r="V68" s="15" t="n">
        <f aca="false">V60*$D$39/1000</f>
        <v>55.6934730952612</v>
      </c>
      <c r="W68" s="15" t="n">
        <f aca="false">W60*$D$39/1000</f>
        <v>51.8373514793671</v>
      </c>
      <c r="X68" s="15" t="n">
        <f aca="false">X60*$D$39/1000</f>
        <v>48.2482211838228</v>
      </c>
      <c r="Y68" s="15" t="n">
        <f aca="false">Y60*$D$39/1000</f>
        <v>44.9075961824488</v>
      </c>
      <c r="Z68" s="15" t="n">
        <f aca="false">Z60*$D$39/1000</f>
        <v>41.7982703901646</v>
      </c>
      <c r="AA68" s="15" t="n">
        <f aca="false">AA60*$D$39/1000</f>
        <v>38.9042290420373</v>
      </c>
      <c r="AB68" s="15" t="n">
        <f aca="false">AB60*$D$39/1000</f>
        <v>36.2105662082957</v>
      </c>
      <c r="AC68" s="15" t="n">
        <f aca="false">AC60*$D$39/1000</f>
        <v>33.7034080204639</v>
      </c>
      <c r="AD68" s="15" t="n">
        <f aca="false">AD60*$D$39/1000</f>
        <v>31.3698412131881</v>
      </c>
      <c r="AE68" s="15" t="n">
        <f aca="false">AE60*$D$39/1000</f>
        <v>29.1978466137054</v>
      </c>
      <c r="AF68" s="15" t="n">
        <f aca="false">AF60*$D$39/1000</f>
        <v>27.1762372363896</v>
      </c>
      <c r="AG68" s="15" t="n">
        <f aca="false">AG60*$D$39/1000</f>
        <v>25.2946006635247</v>
      </c>
      <c r="AH68" s="15" t="n">
        <f aca="false">AH60*$D$39/1000</f>
        <v>23.5432454155374</v>
      </c>
      <c r="AI68" s="15" t="n">
        <f aca="false">AI60*$D$39/1000</f>
        <v>21.9131510344621</v>
      </c>
      <c r="AJ68" s="15" t="n">
        <f aca="false">AJ60*$D$39/1000</f>
        <v>20.3959216235434</v>
      </c>
      <c r="AK68" s="15" t="n">
        <f aca="false">AK60*$D$39/1000</f>
        <v>18.9837426036769</v>
      </c>
      <c r="AL68" s="15" t="n">
        <f aca="false">AL60*$D$39/1000</f>
        <v>17.6693404639612</v>
      </c>
      <c r="AM68" s="15" t="n">
        <f aca="false">AM60*$D$39/1000</f>
        <v>16.4459452990533</v>
      </c>
      <c r="AN68" s="15" t="n">
        <f aca="false">AN60*$D$39/1000</f>
        <v>15.3072559403735</v>
      </c>
      <c r="AO68" s="15" t="n">
        <f aca="false">AO60*$D$39/1000</f>
        <v>14.2474075015675</v>
      </c>
      <c r="AP68" s="15" t="n">
        <f aca="false">AP60*$D$39/1000</f>
        <v>13.2609411710646</v>
      </c>
      <c r="AQ68" s="15" t="n">
        <f aca="false">AQ60*$D$39/1000</f>
        <v>12.3427760961486</v>
      </c>
      <c r="AR68" s="15" t="n">
        <f aca="false">AR60*$D$39/1000</f>
        <v>11.4881832137279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371.960320312657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5.85849519015005</v>
      </c>
      <c r="J69" s="15" t="n">
        <f aca="false">(J61+J66)*$D$40/1000</f>
        <v>11.7169903803001</v>
      </c>
      <c r="K69" s="15" t="n">
        <f aca="false">(K61+K66)*$D$40/1000</f>
        <v>16.4037865324201</v>
      </c>
      <c r="L69" s="15" t="n">
        <f aca="false">(L61+L66)*$D$40/1000</f>
        <v>16.4037865324201</v>
      </c>
      <c r="M69" s="15" t="n">
        <f aca="false">(M61+M66)*$D$40/1000</f>
        <v>16.4037865324201</v>
      </c>
      <c r="N69" s="15" t="n">
        <f aca="false">(N61+N66)*$D$40/1000</f>
        <v>16.4037865324201</v>
      </c>
      <c r="O69" s="15" t="n">
        <f aca="false">(O61+O66)*$D$40/1000</f>
        <v>16.4037865324201</v>
      </c>
      <c r="P69" s="15" t="n">
        <f aca="false">(P61+P66)*$D$40/1000</f>
        <v>16.152708167128</v>
      </c>
      <c r="Q69" s="15" t="n">
        <f aca="false">(Q61+Q66)*$D$40/1000</f>
        <v>16.152708167128</v>
      </c>
      <c r="R69" s="15" t="n">
        <f aca="false">(R61+R66)*$D$40/1000</f>
        <v>16.152708167128</v>
      </c>
      <c r="S69" s="15" t="n">
        <f aca="false">(S61+S66)*$D$40/1000</f>
        <v>16.152708167128</v>
      </c>
      <c r="T69" s="15" t="n">
        <f aca="false">(T61+T66)*$D$40/1000</f>
        <v>16.152708167128</v>
      </c>
      <c r="U69" s="15" t="n">
        <f aca="false">(U61+U66)*$D$40/1000</f>
        <v>16.152708167128</v>
      </c>
      <c r="V69" s="15" t="n">
        <f aca="false">(V61+V66)*$D$40/1000</f>
        <v>15.0343220501058</v>
      </c>
      <c r="W69" s="15" t="n">
        <f aca="false">(W61+W66)*$D$40/1000</f>
        <v>13.9933710909411</v>
      </c>
      <c r="X69" s="15" t="n">
        <f aca="false">(X61+X66)*$D$40/1000</f>
        <v>13.0244938106409</v>
      </c>
      <c r="Y69" s="15" t="n">
        <f aca="false">(Y61+Y66)*$D$40/1000</f>
        <v>12.1226999499243</v>
      </c>
      <c r="Z69" s="15" t="n">
        <f aca="false">(Z61+Z66)*$D$40/1000</f>
        <v>11.2833447665989</v>
      </c>
      <c r="AA69" s="15" t="n">
        <f aca="false">(AA61+AA66)*$D$40/1000</f>
        <v>10.5021051125439</v>
      </c>
      <c r="AB69" s="15" t="n">
        <f aca="false">(AB61+AB66)*$D$40/1000</f>
        <v>9.77495716708168</v>
      </c>
      <c r="AC69" s="15" t="n">
        <f aca="false">(AC61+AC66)*$D$40/1000</f>
        <v>9.09815571205391</v>
      </c>
      <c r="AD69" s="15" t="n">
        <f aca="false">(AD61+AD66)*$D$40/1000</f>
        <v>8.46821484185513</v>
      </c>
      <c r="AE69" s="15" t="n">
        <f aca="false">(AE61+AE66)*$D$40/1000</f>
        <v>7.88189000907161</v>
      </c>
      <c r="AF69" s="15" t="n">
        <f aca="false">(AF61+AF66)*$D$40/1000</f>
        <v>7.33616131324949</v>
      </c>
      <c r="AG69" s="15" t="n">
        <f aca="false">(AG61+AG66)*$D$40/1000</f>
        <v>6.82821794672035</v>
      </c>
      <c r="AH69" s="15" t="n">
        <f aca="false">(AH61+AH66)*$D$40/1000</f>
        <v>6.3554437173713</v>
      </c>
      <c r="AI69" s="15" t="n">
        <f aca="false">(AI61+AI66)*$D$40/1000</f>
        <v>5.91540357379406</v>
      </c>
      <c r="AJ69" s="15" t="n">
        <f aca="false">(AJ61+AJ66)*$D$40/1000</f>
        <v>5.5058310634098</v>
      </c>
      <c r="AK69" s="15" t="n">
        <f aca="false">(AK61+AK66)*$D$40/1000</f>
        <v>5.12461665897213</v>
      </c>
      <c r="AL69" s="15" t="n">
        <f aca="false">(AL61+AL66)*$D$40/1000</f>
        <v>4.76979689332324</v>
      </c>
      <c r="AM69" s="15" t="n">
        <f aca="false">(AM61+AM66)*$D$40/1000</f>
        <v>4.43954424644111</v>
      </c>
      <c r="AN69" s="15" t="n">
        <f aca="false">(AN61+AN66)*$D$40/1000</f>
        <v>4.13215773269043</v>
      </c>
      <c r="AO69" s="15" t="n">
        <f aca="false">(AO61+AO66)*$D$40/1000</f>
        <v>3.84605413979622</v>
      </c>
      <c r="AP69" s="15" t="n">
        <f aca="false">(AP61+AP66)*$D$40/1000</f>
        <v>3.57975987441615</v>
      </c>
      <c r="AQ69" s="15" t="n">
        <f aca="false">(AQ61+AQ66)*$D$40/1000</f>
        <v>3.33190337231158</v>
      </c>
      <c r="AR69" s="15" t="n">
        <f aca="false">(AR61+AR66)*$D$40/1000</f>
        <v>3.10120803402544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0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0</v>
      </c>
      <c r="L71" s="15" t="n">
        <f aca="false">L64*$D$23/1000</f>
        <v>0</v>
      </c>
      <c r="M71" s="15" t="n">
        <f aca="false">M64*$D$23/1000</f>
        <v>0</v>
      </c>
      <c r="N71" s="15" t="n">
        <f aca="false">N64*$D$23/1000</f>
        <v>0</v>
      </c>
      <c r="O71" s="15" t="n">
        <f aca="false">O64*$D$23/1000</f>
        <v>0</v>
      </c>
      <c r="P71" s="15" t="n">
        <f aca="false">P64*$D$23/1000</f>
        <v>0</v>
      </c>
      <c r="Q71" s="15" t="n">
        <f aca="false">Q64*$D$23/1000</f>
        <v>0</v>
      </c>
      <c r="R71" s="15" t="n">
        <f aca="false">R64*$D$23/1000</f>
        <v>0</v>
      </c>
      <c r="S71" s="15" t="n">
        <f aca="false">S64*$D$23/1000</f>
        <v>0</v>
      </c>
      <c r="T71" s="15" t="n">
        <f aca="false">T64*$D$23/1000</f>
        <v>0</v>
      </c>
      <c r="U71" s="15" t="n">
        <f aca="false">U64*$D$23/1000</f>
        <v>0</v>
      </c>
      <c r="V71" s="15" t="n">
        <f aca="false">V64*$D$23/1000</f>
        <v>0</v>
      </c>
      <c r="W71" s="15" t="n">
        <f aca="false">W64*$D$23/1000</f>
        <v>0</v>
      </c>
      <c r="X71" s="15" t="n">
        <f aca="false">X64*$D$23/1000</f>
        <v>0</v>
      </c>
      <c r="Y71" s="15" t="n">
        <f aca="false">Y64*$D$23/1000</f>
        <v>0</v>
      </c>
      <c r="Z71" s="15" t="n">
        <f aca="false">Z64*$D$23/1000</f>
        <v>0</v>
      </c>
      <c r="AA71" s="15" t="n">
        <f aca="false">AA64*$D$23/1000</f>
        <v>0</v>
      </c>
      <c r="AB71" s="15" t="n">
        <f aca="false">AB64*$D$23/1000</f>
        <v>0</v>
      </c>
      <c r="AC71" s="15" t="n">
        <f aca="false">AC64*$D$23/1000</f>
        <v>0</v>
      </c>
      <c r="AD71" s="15" t="n">
        <f aca="false">AD64*$D$23/1000</f>
        <v>0</v>
      </c>
      <c r="AE71" s="15" t="n">
        <f aca="false">AE64*$D$23/1000</f>
        <v>0</v>
      </c>
      <c r="AF71" s="15" t="n">
        <f aca="false">AF64*$D$23/1000</f>
        <v>0</v>
      </c>
      <c r="AG71" s="15" t="n">
        <f aca="false">AG64*$D$23/1000</f>
        <v>0</v>
      </c>
      <c r="AH71" s="15" t="n">
        <f aca="false">AH64*$D$23/1000</f>
        <v>0</v>
      </c>
      <c r="AI71" s="15" t="n">
        <f aca="false">AI64*$D$23/1000</f>
        <v>0</v>
      </c>
      <c r="AJ71" s="15" t="n">
        <f aca="false">AJ64*$D$23/1000</f>
        <v>0</v>
      </c>
      <c r="AK71" s="15" t="n">
        <f aca="false">AK64*$D$23/1000</f>
        <v>0</v>
      </c>
      <c r="AL71" s="15" t="n">
        <f aca="false">AL64*$D$23/1000</f>
        <v>0</v>
      </c>
      <c r="AM71" s="15" t="n">
        <f aca="false">AM64*$D$23/1000</f>
        <v>0</v>
      </c>
      <c r="AN71" s="15" t="n">
        <f aca="false">AN64*$D$23/1000</f>
        <v>0</v>
      </c>
      <c r="AO71" s="15" t="n">
        <f aca="false">AO64*$D$23/1000</f>
        <v>0</v>
      </c>
      <c r="AP71" s="15" t="n">
        <f aca="false">AP64*$D$23/1000</f>
        <v>0</v>
      </c>
      <c r="AQ71" s="15" t="n">
        <f aca="false">AQ64*$D$23/1000</f>
        <v>0</v>
      </c>
      <c r="AR71" s="15" t="n">
        <f aca="false">AR64*$D$23/1000</f>
        <v>0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0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0</v>
      </c>
      <c r="L72" s="15" t="n">
        <f aca="false">L65*$D$24/1000</f>
        <v>0</v>
      </c>
      <c r="M72" s="15" t="n">
        <f aca="false">M65*$D$24/1000</f>
        <v>0</v>
      </c>
      <c r="N72" s="15" t="n">
        <f aca="false">N65*$D$24/1000</f>
        <v>0</v>
      </c>
      <c r="O72" s="15" t="n">
        <f aca="false">O65*$D$24/1000</f>
        <v>0</v>
      </c>
      <c r="P72" s="15" t="n">
        <f aca="false">P65*$D$24/1000</f>
        <v>0</v>
      </c>
      <c r="Q72" s="15" t="n">
        <f aca="false">Q65*$D$24/1000</f>
        <v>0</v>
      </c>
      <c r="R72" s="15" t="n">
        <f aca="false">R65*$D$24/1000</f>
        <v>0</v>
      </c>
      <c r="S72" s="15" t="n">
        <f aca="false">S65*$D$24/1000</f>
        <v>0</v>
      </c>
      <c r="T72" s="15" t="n">
        <f aca="false">T65*$D$24/1000</f>
        <v>0</v>
      </c>
      <c r="U72" s="15" t="n">
        <f aca="false">U65*$D$24/1000</f>
        <v>0</v>
      </c>
      <c r="V72" s="15" t="n">
        <f aca="false">V65*$D$24/1000</f>
        <v>0</v>
      </c>
      <c r="W72" s="15" t="n">
        <f aca="false">W65*$D$24/1000</f>
        <v>0</v>
      </c>
      <c r="X72" s="15" t="n">
        <f aca="false">X65*$D$24/1000</f>
        <v>0</v>
      </c>
      <c r="Y72" s="15" t="n">
        <f aca="false">Y65*$D$24/1000</f>
        <v>0</v>
      </c>
      <c r="Z72" s="15" t="n">
        <f aca="false">Z65*$D$24/1000</f>
        <v>0</v>
      </c>
      <c r="AA72" s="15" t="n">
        <f aca="false">AA65*$D$24/1000</f>
        <v>0</v>
      </c>
      <c r="AB72" s="15" t="n">
        <f aca="false">AB65*$D$24/1000</f>
        <v>0</v>
      </c>
      <c r="AC72" s="15" t="n">
        <f aca="false">AC65*$D$24/1000</f>
        <v>0</v>
      </c>
      <c r="AD72" s="15" t="n">
        <f aca="false">AD65*$D$24/1000</f>
        <v>0</v>
      </c>
      <c r="AE72" s="15" t="n">
        <f aca="false">AE65*$D$24/1000</f>
        <v>0</v>
      </c>
      <c r="AF72" s="15" t="n">
        <f aca="false">AF65*$D$24/1000</f>
        <v>0</v>
      </c>
      <c r="AG72" s="15" t="n">
        <f aca="false">AG65*$D$24/1000</f>
        <v>0</v>
      </c>
      <c r="AH72" s="15" t="n">
        <f aca="false">AH65*$D$24/1000</f>
        <v>0</v>
      </c>
      <c r="AI72" s="15" t="n">
        <f aca="false">AI65*$D$24/1000</f>
        <v>0</v>
      </c>
      <c r="AJ72" s="15" t="n">
        <f aca="false">AJ65*$D$24/1000</f>
        <v>0</v>
      </c>
      <c r="AK72" s="15" t="n">
        <f aca="false">AK65*$D$24/1000</f>
        <v>0</v>
      </c>
      <c r="AL72" s="15" t="n">
        <f aca="false">AL65*$D$24/1000</f>
        <v>0</v>
      </c>
      <c r="AM72" s="15" t="n">
        <f aca="false">AM65*$D$24/1000</f>
        <v>0</v>
      </c>
      <c r="AN72" s="15" t="n">
        <f aca="false">AN65*$D$24/1000</f>
        <v>0</v>
      </c>
      <c r="AO72" s="15" t="n">
        <f aca="false">AO65*$D$24/1000</f>
        <v>0</v>
      </c>
      <c r="AP72" s="15" t="n">
        <f aca="false">AP65*$D$24/1000</f>
        <v>0</v>
      </c>
      <c r="AQ72" s="15" t="n">
        <f aca="false">AQ65*$D$24/1000</f>
        <v>0</v>
      </c>
      <c r="AR72" s="15" t="n">
        <f aca="false">AR65*$D$24/1000</f>
        <v>0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1749.85830751801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27.5608335572495</v>
      </c>
      <c r="J73" s="15" t="n">
        <f aca="false">SUM(J68:J72)</f>
        <v>55.121667114499</v>
      </c>
      <c r="K73" s="15" t="n">
        <f aca="false">SUM(K68:K72)</f>
        <v>77.1703339602985</v>
      </c>
      <c r="L73" s="15" t="n">
        <f aca="false">SUM(L68:L72)</f>
        <v>77.1703339602985</v>
      </c>
      <c r="M73" s="15" t="n">
        <f aca="false">SUM(M68:M72)</f>
        <v>77.1703339602985</v>
      </c>
      <c r="N73" s="15" t="n">
        <f aca="false">SUM(N68:N72)</f>
        <v>77.1703339602985</v>
      </c>
      <c r="O73" s="15" t="n">
        <f aca="false">SUM(O68:O72)</f>
        <v>77.1703339602985</v>
      </c>
      <c r="P73" s="15" t="n">
        <f aca="false">SUM(P68:P72)</f>
        <v>75.9891553792736</v>
      </c>
      <c r="Q73" s="15" t="n">
        <f aca="false">SUM(Q68:Q72)</f>
        <v>75.9891553792736</v>
      </c>
      <c r="R73" s="15" t="n">
        <f aca="false">SUM(R68:R72)</f>
        <v>75.9891553792736</v>
      </c>
      <c r="S73" s="15" t="n">
        <f aca="false">SUM(S68:S72)</f>
        <v>75.9891553792736</v>
      </c>
      <c r="T73" s="15" t="n">
        <f aca="false">SUM(T68:T72)</f>
        <v>75.9891553792736</v>
      </c>
      <c r="U73" s="15" t="n">
        <f aca="false">SUM(U68:U72)</f>
        <v>75.9891553792736</v>
      </c>
      <c r="V73" s="15" t="n">
        <f aca="false">SUM(V68:V72)</f>
        <v>70.727795145367</v>
      </c>
      <c r="W73" s="15" t="n">
        <f aca="false">SUM(W68:W72)</f>
        <v>65.8307225703082</v>
      </c>
      <c r="X73" s="15" t="n">
        <f aca="false">SUM(X68:X72)</f>
        <v>61.2727149944637</v>
      </c>
      <c r="Y73" s="15" t="n">
        <f aca="false">SUM(Y68:Y72)</f>
        <v>57.0302961323731</v>
      </c>
      <c r="Z73" s="15" t="n">
        <f aca="false">SUM(Z68:Z72)</f>
        <v>53.0816151567635</v>
      </c>
      <c r="AA73" s="15" t="n">
        <f aca="false">SUM(AA68:AA72)</f>
        <v>49.4063341545812</v>
      </c>
      <c r="AB73" s="15" t="n">
        <f aca="false">SUM(AB68:AB72)</f>
        <v>45.9855233753774</v>
      </c>
      <c r="AC73" s="15" t="n">
        <f aca="false">SUM(AC68:AC72)</f>
        <v>42.8015637325178</v>
      </c>
      <c r="AD73" s="15" t="n">
        <f aca="false">SUM(AD68:AD72)</f>
        <v>39.8380560550432</v>
      </c>
      <c r="AE73" s="15" t="n">
        <f aca="false">SUM(AE68:AE72)</f>
        <v>37.0797366227771</v>
      </c>
      <c r="AF73" s="15" t="n">
        <f aca="false">SUM(AF68:AF72)</f>
        <v>34.5123985496391</v>
      </c>
      <c r="AG73" s="15" t="n">
        <f aca="false">SUM(AG68:AG72)</f>
        <v>32.1228186102451</v>
      </c>
      <c r="AH73" s="15" t="n">
        <f aca="false">SUM(AH68:AH72)</f>
        <v>29.8986891329087</v>
      </c>
      <c r="AI73" s="15" t="n">
        <f aca="false">SUM(AI68:AI72)</f>
        <v>27.8285546082562</v>
      </c>
      <c r="AJ73" s="15" t="n">
        <f aca="false">SUM(AJ68:AJ72)</f>
        <v>25.9017526869532</v>
      </c>
      <c r="AK73" s="15" t="n">
        <f aca="false">SUM(AK68:AK72)</f>
        <v>24.108359262649</v>
      </c>
      <c r="AL73" s="15" t="n">
        <f aca="false">SUM(AL68:AL72)</f>
        <v>22.4391373572845</v>
      </c>
      <c r="AM73" s="15" t="n">
        <f aca="false">SUM(AM68:AM72)</f>
        <v>20.8854895454944</v>
      </c>
      <c r="AN73" s="15" t="n">
        <f aca="false">SUM(AN68:AN72)</f>
        <v>19.439413673064</v>
      </c>
      <c r="AO73" s="15" t="n">
        <f aca="false">SUM(AO68:AO72)</f>
        <v>18.0934616413637</v>
      </c>
      <c r="AP73" s="15" t="n">
        <f aca="false">SUM(AP68:AP72)</f>
        <v>16.8407010454807</v>
      </c>
      <c r="AQ73" s="15" t="n">
        <f aca="false">SUM(AQ68:AQ72)</f>
        <v>15.6746794684602</v>
      </c>
      <c r="AR73" s="15" t="n">
        <f aca="false">SUM(AR68:AR72)</f>
        <v>14.5893912477533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234.560776463964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2.50293596302914</v>
      </c>
      <c r="J74" s="15" t="n">
        <f aca="false">J52*$D$37/1000*(Исходные!$C$23+Исходные!$C$24*J56)/1000+Исходные!$C$25*J56*(J69+J70)</f>
        <v>5.26186460663258</v>
      </c>
      <c r="K74" s="15" t="n">
        <f aca="false">K52*$D$37/1000*(Исходные!$C$23+Исходные!$C$24*K56)/1000+Исходные!$C$25*K56*(K69+K70)</f>
        <v>7.72500020208964</v>
      </c>
      <c r="L74" s="15" t="n">
        <f aca="false">L52*$D$37/1000*(Исходные!$C$23+Исходные!$C$24*L56)/1000+Исходные!$C$25*L56*(L69+L70)</f>
        <v>8.08338995489367</v>
      </c>
      <c r="M74" s="15" t="n">
        <f aca="false">M52*$D$37/1000*(Исходные!$C$23+Исходные!$C$24*M56)/1000+Исходные!$C$25*M56*(M69+M70)</f>
        <v>8.44177970769769</v>
      </c>
      <c r="N74" s="15" t="n">
        <f aca="false">N52*$D$37/1000*(Исходные!$C$23+Исходные!$C$24*N56)/1000+Исходные!$C$25*N56*(N69+N70)</f>
        <v>8.80016946050172</v>
      </c>
      <c r="O74" s="15" t="n">
        <f aca="false">O52*$D$37/1000*(Исходные!$C$23+Исходные!$C$24*O56)/1000+Исходные!$C$25*O56*(O69+O70)</f>
        <v>9.15855921330574</v>
      </c>
      <c r="P74" s="15" t="n">
        <f aca="false">P52*$D$37/1000*(Исходные!$C$23+Исходные!$C$24*P56)/1000+Исходные!$C$25*P56*(P69+P70)</f>
        <v>9.49164026688832</v>
      </c>
      <c r="Q74" s="15" t="n">
        <f aca="false">Q52*$D$37/1000*(Исходные!$C$23+Исходные!$C$24*Q56)/1000+Исходные!$C$25*Q56*(Q69+Q70)</f>
        <v>9.84754434387596</v>
      </c>
      <c r="R74" s="15" t="n">
        <f aca="false">R52*$D$37/1000*(Исходные!$C$23+Исходные!$C$24*R56)/1000+Исходные!$C$25*R56*(R69+R70)</f>
        <v>10.2034484208636</v>
      </c>
      <c r="S74" s="15" t="n">
        <f aca="false">S52*$D$37/1000*(Исходные!$C$23+Исходные!$C$24*S56)/1000+Исходные!$C$25*S56*(S69+S70)</f>
        <v>10.5593524978512</v>
      </c>
      <c r="T74" s="15" t="n">
        <f aca="false">T52*$D$37/1000*(Исходные!$C$23+Исходные!$C$24*T56)/1000+Исходные!$C$25*T56*(T69+T70)</f>
        <v>10.9152565748389</v>
      </c>
      <c r="U74" s="15" t="n">
        <f aca="false">U52*$D$37/1000*(Исходные!$C$23+Исходные!$C$24*U56)/1000+Исходные!$C$25*U56*(U69+U70)</f>
        <v>11.2603756797966</v>
      </c>
      <c r="V74" s="15" t="n">
        <f aca="false">V52*$D$37/1000*(Исходные!$C$23+Исходные!$C$24*V56)/1000+Исходные!$C$25*V56*(V69+V70)</f>
        <v>10.480726366354</v>
      </c>
      <c r="W74" s="15" t="n">
        <f aca="false">W52*$D$37/1000*(Исходные!$C$23+Исходные!$C$24*W56)/1000+Исходные!$C$25*W56*(W69+W70)</f>
        <v>9.75505864901771</v>
      </c>
      <c r="X74" s="15" t="n">
        <f aca="false">X52*$D$37/1000*(Исходные!$C$23+Исходные!$C$24*X56)/1000+Исходные!$C$25*X56*(X69+X70)</f>
        <v>9.07963493363099</v>
      </c>
      <c r="Y74" s="15" t="n">
        <f aca="false">Y52*$D$37/1000*(Исходные!$C$23+Исходные!$C$24*Y56)/1000+Исходные!$C$25*Y56*(Y69+Y70)</f>
        <v>8.45097641071728</v>
      </c>
      <c r="Z74" s="15" t="n">
        <f aca="false">Z52*$D$37/1000*(Исходные!$C$23+Исходные!$C$24*Z56)/1000+Исходные!$C$25*Z56*(Z69+Z70)</f>
        <v>7.86584513766778</v>
      </c>
      <c r="AA74" s="15" t="n">
        <f aca="false">AA52*$D$37/1000*(Исходные!$C$23+Исходные!$C$24*AA56)/1000+Исходные!$C$25*AA56*(AA69+AA70)</f>
        <v>7.3212273615281</v>
      </c>
      <c r="AB74" s="15" t="n">
        <f aca="false">AB52*$D$37/1000*(Исходные!$C$23+Исходные!$C$24*AB56)/1000+Исходные!$C$25*AB56*(AB69+AB70)</f>
        <v>6.8143179964868</v>
      </c>
      <c r="AC74" s="15" t="n">
        <f aca="false">AC52*$D$37/1000*(Исходные!$C$23+Исходные!$C$24*AC56)/1000+Исходные!$C$25*AC56*(AC69+AC70)</f>
        <v>6.34250617611633</v>
      </c>
      <c r="AD74" s="15" t="n">
        <f aca="false">AD52*$D$37/1000*(Исходные!$C$23+Исходные!$C$24*AD56)/1000+Исходные!$C$25*AD56*(AD69+AD70)</f>
        <v>5.90336180595233</v>
      </c>
      <c r="AE74" s="15" t="n">
        <f aca="false">AE52*$D$37/1000*(Исходные!$C$23+Исходные!$C$24*AE56)/1000+Исходные!$C$25*AE56*(AE69+AE70)</f>
        <v>5.4946230471495</v>
      </c>
      <c r="AF74" s="15" t="n">
        <f aca="false">AF52*$D$37/1000*(Исходные!$C$23+Исходные!$C$24*AF56)/1000+Исходные!$C$25*AF56*(AF69+AF70)</f>
        <v>5.11418466674787</v>
      </c>
      <c r="AG74" s="15" t="n">
        <f aca="false">AG52*$D$37/1000*(Исходные!$C$23+Исходные!$C$24*AG56)/1000+Исходные!$C$25*AG56*(AG69+AG70)</f>
        <v>4.76008719454697</v>
      </c>
      <c r="AH74" s="15" t="n">
        <f aca="false">AH52*$D$37/1000*(Исходные!$C$23+Исходные!$C$24*AH56)/1000+Исходные!$C$25*AH56*(AH69+AH70)</f>
        <v>4.43050683073958</v>
      </c>
      <c r="AI74" s="15" t="n">
        <f aca="false">AI52*$D$37/1000*(Исходные!$C$23+Исходные!$C$24*AI56)/1000+Исходные!$C$25*AI56*(AI69+AI70)</f>
        <v>4.12374605232379</v>
      </c>
      <c r="AJ74" s="15" t="n">
        <f aca="false">AJ52*$D$37/1000*(Исходные!$C$23+Исходные!$C$24*AJ56)/1000+Исходные!$C$25*AJ56*(AJ69+AJ70)</f>
        <v>3.83822486991118</v>
      </c>
      <c r="AK74" s="15" t="n">
        <f aca="false">AK52*$D$37/1000*(Исходные!$C$23+Исходные!$C$24*AK56)/1000+Исходные!$C$25*AK56*(AK69+AK70)</f>
        <v>3.5724726898988</v>
      </c>
      <c r="AL74" s="15" t="n">
        <f aca="false">AL52*$D$37/1000*(Исходные!$C$23+Исходные!$C$24*AL56)/1000+Исходные!$C$25*AL56*(AL69+AL70)</f>
        <v>3.32512074009048</v>
      </c>
      <c r="AM74" s="15" t="n">
        <f aca="false">AM52*$D$37/1000*(Исходные!$C$23+Исходные!$C$24*AM56)/1000+Исходные!$C$25*AM56*(AM69+AM70)</f>
        <v>3.09489501975537</v>
      </c>
      <c r="AN74" s="15" t="n">
        <f aca="false">AN52*$D$37/1000*(Исходные!$C$23+Исходные!$C$24*AN56)/1000+Исходные!$C$25*AN56*(AN69+AN70)</f>
        <v>2.88060973781239</v>
      </c>
      <c r="AO74" s="15" t="n">
        <f aca="false">AO52*$D$37/1000*(Исходные!$C$23+Исходные!$C$24*AO56)/1000+Исходные!$C$25*AO56*(AO69+AO70)</f>
        <v>2.68116120534372</v>
      </c>
      <c r="AP74" s="15" t="n">
        <f aca="false">AP52*$D$37/1000*(Исходные!$C$23+Исходные!$C$24*AP56)/1000+Исходные!$C$25*AP56*(AP69+AP70)</f>
        <v>2.49552215098023</v>
      </c>
      <c r="AQ74" s="15" t="n">
        <f aca="false">AQ52*$D$37/1000*(Исходные!$C$23+Исходные!$C$24*AQ56)/1000+Исходные!$C$25*AQ56*(AQ69+AQ70)</f>
        <v>2.32273642988007</v>
      </c>
      <c r="AR74" s="15" t="n">
        <f aca="false">AR52*$D$37/1000*(Исходные!$C$23+Исходные!$C$24*AR56)/1000+Исходные!$C$25*AR56*(AR69+AR70)</f>
        <v>2.1619140990485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0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0</v>
      </c>
      <c r="H80" s="15" t="n">
        <f aca="false">$D80*CAPEX_нормы!M$10</f>
        <v>0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0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0</v>
      </c>
      <c r="J92" s="15" t="n">
        <f aca="false">$D92*CAPEX_нормы!O$22</f>
        <v>0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347.055830986988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110.561372322311</v>
      </c>
      <c r="H93" s="15" t="n">
        <f aca="false">SUM(H76:H92)</f>
        <v>78.078604963647</v>
      </c>
      <c r="I93" s="15" t="n">
        <f aca="false">SUM(I76:I92)</f>
        <v>6.85714285714286</v>
      </c>
      <c r="J93" s="15" t="n">
        <f aca="false">SUM(J76:J92)</f>
        <v>0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20.5256595751815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202.460233620164</v>
      </c>
      <c r="H94" s="15" t="n">
        <f aca="false">G94+H93</f>
        <v>280.538838583811</v>
      </c>
      <c r="I94" s="15" t="n">
        <f aca="false">H94+I93</f>
        <v>287.395981440953</v>
      </c>
      <c r="J94" s="15" t="n">
        <f aca="false">I94+J93</f>
        <v>287.395981440953</v>
      </c>
      <c r="K94" s="15" t="n">
        <f aca="false">J94+K93</f>
        <v>287.395981440953</v>
      </c>
      <c r="L94" s="15" t="n">
        <f aca="false">K94+L93</f>
        <v>287.395981440953</v>
      </c>
      <c r="M94" s="15" t="n">
        <f aca="false">L94+M93</f>
        <v>287.395981440953</v>
      </c>
      <c r="N94" s="15" t="n">
        <f aca="false">M94+N93</f>
        <v>289.967410012382</v>
      </c>
      <c r="O94" s="15" t="n">
        <f aca="false">N94+O93</f>
        <v>306.004511836625</v>
      </c>
      <c r="P94" s="15" t="n">
        <f aca="false">O94+P93</f>
        <v>326.530171411807</v>
      </c>
      <c r="Q94" s="15" t="n">
        <f aca="false">P94+Q93</f>
        <v>329.101599983235</v>
      </c>
      <c r="R94" s="15" t="n">
        <f aca="false">Q94+R93</f>
        <v>329.101599983235</v>
      </c>
      <c r="S94" s="15" t="n">
        <f aca="false">R94+S93</f>
        <v>329.101599983235</v>
      </c>
      <c r="T94" s="15" t="n">
        <f aca="false">S94+T93</f>
        <v>329.101599983235</v>
      </c>
      <c r="U94" s="15" t="n">
        <f aca="false">T94+U93</f>
        <v>329.101599983235</v>
      </c>
      <c r="V94" s="15" t="n">
        <f aca="false">U94+V93</f>
        <v>329.101599983235</v>
      </c>
      <c r="W94" s="15" t="n">
        <f aca="false">V94+W93</f>
        <v>347.055830986988</v>
      </c>
      <c r="X94" s="15" t="n">
        <f aca="false">W94+X93</f>
        <v>347.055830986988</v>
      </c>
      <c r="Y94" s="15" t="n">
        <f aca="false">X94+Y93</f>
        <v>347.055830986988</v>
      </c>
      <c r="Z94" s="15" t="n">
        <f aca="false">Y94+Z93</f>
        <v>347.055830986988</v>
      </c>
      <c r="AA94" s="15" t="n">
        <f aca="false">Z94+AA93</f>
        <v>347.055830986988</v>
      </c>
      <c r="AB94" s="15" t="n">
        <f aca="false">AA94+AB93</f>
        <v>347.055830986988</v>
      </c>
      <c r="AC94" s="15" t="n">
        <f aca="false">AB94+AC93</f>
        <v>347.055830986988</v>
      </c>
      <c r="AD94" s="15" t="n">
        <f aca="false">AC94+AD93</f>
        <v>347.055830986988</v>
      </c>
      <c r="AE94" s="15" t="n">
        <f aca="false">AD94+AE93</f>
        <v>347.055830986988</v>
      </c>
      <c r="AF94" s="15" t="n">
        <f aca="false">AE94+AF93</f>
        <v>347.055830986988</v>
      </c>
      <c r="AG94" s="15" t="n">
        <f aca="false">AF94+AG93</f>
        <v>347.055830986988</v>
      </c>
      <c r="AH94" s="15" t="n">
        <f aca="false">AG94+AH93</f>
        <v>347.055830986988</v>
      </c>
      <c r="AI94" s="15" t="n">
        <f aca="false">AH94+AI93</f>
        <v>347.055830986988</v>
      </c>
      <c r="AJ94" s="15" t="n">
        <f aca="false">AI94+AJ93</f>
        <v>347.055830986988</v>
      </c>
      <c r="AK94" s="15" t="n">
        <f aca="false">AJ94+AK93</f>
        <v>347.055830986988</v>
      </c>
      <c r="AL94" s="15" t="n">
        <f aca="false">AK94+AL93</f>
        <v>347.055830986988</v>
      </c>
      <c r="AM94" s="15" t="n">
        <f aca="false">AL94+AM93</f>
        <v>347.055830986988</v>
      </c>
      <c r="AN94" s="15" t="n">
        <f aca="false">AM94+AN93</f>
        <v>347.055830986988</v>
      </c>
      <c r="AO94" s="15" t="n">
        <f aca="false">AN94+AO93</f>
        <v>347.055830986988</v>
      </c>
      <c r="AP94" s="15" t="n">
        <f aca="false">AO94+AP93</f>
        <v>347.055830986988</v>
      </c>
      <c r="AQ94" s="15" t="n">
        <f aca="false">AP94+AQ93</f>
        <v>347.055830986988</v>
      </c>
      <c r="AR94" s="15" t="n">
        <f aca="false">AQ94+AR93</f>
        <v>347.055830986988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225.795775860763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5.03216928514447</v>
      </c>
      <c r="J97" s="15" t="n">
        <f aca="false">J96*Исходные!$C$33*J94+J52*Исходные!$C$34/1000+J62*Исходные!$C$35/1000+(J61+J62)*Исходные!$C$36/1000+IF(J59&gt;0,$D$43*Исходные!$C$41/1000,0)+J96*$D$33</f>
        <v>5.75339884867464</v>
      </c>
      <c r="K97" s="15" t="n">
        <f aca="false">K96*Исходные!$C$33*K94+K52*Исходные!$C$34/1000+K62*Исходные!$C$35/1000+(K61+K62)*Исходные!$C$36/1000+IF(K59&gt;0,$D$43*Исходные!$C$41/1000,0)+K96*$D$33</f>
        <v>6.33038249949877</v>
      </c>
      <c r="L97" s="15" t="n">
        <f aca="false">L96*Исходные!$C$33*L94+L52*Исходные!$C$34/1000+L62*Исходные!$C$35/1000+(L61+L62)*Исходные!$C$36/1000+IF(L59&gt;0,$D$43*Исходные!$C$41/1000,0)+L96*$D$33</f>
        <v>6.33038249949877</v>
      </c>
      <c r="M97" s="15" t="n">
        <f aca="false">M96*Исходные!$C$33*M94+M52*Исходные!$C$34/1000+M62*Исходные!$C$35/1000+(M61+M62)*Исходные!$C$36/1000+IF(M59&gt;0,$D$43*Исходные!$C$41/1000,0)+M96*$D$33</f>
        <v>6.33038249949877</v>
      </c>
      <c r="N97" s="15" t="n">
        <f aca="false">N96*Исходные!$C$33*N94+N52*Исходные!$C$34/1000+N62*Исходные!$C$35/1000+(N61+N62)*Исходные!$C$36/1000+IF(N59&gt;0,$D$43*Исходные!$C$41/1000,0)+N96*$D$33</f>
        <v>6.3689539280702</v>
      </c>
      <c r="O97" s="15" t="n">
        <f aca="false">O96*Исходные!$C$33*O94+O52*Исходные!$C$34/1000+O62*Исходные!$C$35/1000+(O61+O62)*Исходные!$C$36/1000+IF(O59&gt;0,$D$43*Исходные!$C$41/1000,0)+O96*$D$33</f>
        <v>6.60951045543385</v>
      </c>
      <c r="P97" s="15" t="n">
        <f aca="false">P96*Исходные!$C$33*P94+P52*Исходные!$C$34/1000+P62*Исходные!$C$35/1000+(P61+P62)*Исходные!$C$36/1000+IF(P59&gt;0,$D$43*Исходные!$C$41/1000,0)+P96*$D$33</f>
        <v>6.91403653103273</v>
      </c>
      <c r="Q97" s="15" t="n">
        <f aca="false">Q96*Исходные!$C$33*Q94+Q52*Исходные!$C$34/1000+Q62*Исходные!$C$35/1000+(Q61+Q62)*Исходные!$C$36/1000+IF(Q59&gt;0,$D$43*Исходные!$C$41/1000,0)+Q96*$D$33</f>
        <v>6.95260795960416</v>
      </c>
      <c r="R97" s="15" t="n">
        <f aca="false">R96*Исходные!$C$33*R94+R52*Исходные!$C$34/1000+R62*Исходные!$C$35/1000+(R61+R62)*Исходные!$C$36/1000+IF(R59&gt;0,$D$43*Исходные!$C$41/1000,0)+R96*$D$33</f>
        <v>6.95260795960416</v>
      </c>
      <c r="S97" s="15" t="n">
        <f aca="false">S96*Исходные!$C$33*S94+S52*Исходные!$C$34/1000+S62*Исходные!$C$35/1000+(S61+S62)*Исходные!$C$36/1000+IF(S59&gt;0,$D$43*Исходные!$C$41/1000,0)+S96*$D$33</f>
        <v>6.95260795960416</v>
      </c>
      <c r="T97" s="15" t="n">
        <f aca="false">T96*Исходные!$C$33*T94+T52*Исходные!$C$34/1000+T62*Исходные!$C$35/1000+(T61+T62)*Исходные!$C$36/1000+IF(T59&gt;0,$D$43*Исходные!$C$41/1000,0)+T96*$D$33</f>
        <v>6.95260795960416</v>
      </c>
      <c r="U97" s="15" t="n">
        <f aca="false">U96*Исходные!$C$33*U94+U52*Исходные!$C$34/1000+U62*Исходные!$C$35/1000+(U61+U62)*Исходные!$C$36/1000+IF(U59&gt;0,$D$43*Исходные!$C$41/1000,0)+U96*$D$33</f>
        <v>6.95260795960416</v>
      </c>
      <c r="V97" s="15" t="n">
        <f aca="false">V96*Исходные!$C$33*V94+V52*Исходные!$C$34/1000+V62*Исходные!$C$35/1000+(V61+V62)*Исходные!$C$36/1000+IF(V59&gt;0,$D$43*Исходные!$C$41/1000,0)+V96*$D$33</f>
        <v>6.81301772568646</v>
      </c>
      <c r="W97" s="15" t="n">
        <f aca="false">W96*Исходные!$C$33*W94+W52*Исходные!$C$34/1000+W62*Исходные!$C$35/1000+(W61+W62)*Исходные!$C$36/1000+IF(W59&gt;0,$D$43*Исходные!$C$41/1000,0)+W96*$D$33</f>
        <v>6.95240594786371</v>
      </c>
      <c r="X97" s="15" t="n">
        <f aca="false">X96*Исходные!$C$33*X94+X52*Исходные!$C$34/1000+X62*Исходные!$C$35/1000+(X61+X62)*Исходные!$C$36/1000+IF(X59&gt;0,$D$43*Исходные!$C$41/1000,0)+X96*$D$33</f>
        <v>6.83147650843653</v>
      </c>
      <c r="Y97" s="15" t="n">
        <f aca="false">Y96*Исходные!$C$33*Y94+Y52*Исходные!$C$34/1000+Y62*Исходные!$C$35/1000+(Y61+Y62)*Исходные!$C$36/1000+IF(Y59&gt;0,$D$43*Исходные!$C$41/1000,0)+Y96*$D$33</f>
        <v>6.7189200182879</v>
      </c>
      <c r="Z97" s="15" t="n">
        <f aca="false">Z96*Исходные!$C$33*Z94+Z52*Исходные!$C$34/1000+Z62*Исходные!$C$35/1000+(Z61+Z62)*Исходные!$C$36/1000+IF(Z59&gt;0,$D$43*Исходные!$C$41/1000,0)+Z96*$D$33</f>
        <v>6.61415674861107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6.51664711003858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6.42588887345558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6.34141458323933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6.26278914960153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6.18960760763289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6.12149303150757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6.05809459310462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5.99908575504714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5.94416258885238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5.89304220953024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5.84546131856752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5.80117484779352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5.75995469714201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5.72158855980847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5.68587882875142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5.6526415789058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5.62170561986607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5.59291161416004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347.055830986988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280.538838583811</v>
      </c>
      <c r="J98" s="15" t="n">
        <f aca="false">I93</f>
        <v>6.85714285714286</v>
      </c>
      <c r="K98" s="15" t="n">
        <f aca="false">J93</f>
        <v>0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20.5256595751815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347.055830986988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18.7025892389207</v>
      </c>
      <c r="J99" s="15" t="n">
        <f aca="true">SUM(OFFSET(J98,0,-MIN(Исходные!$C$32-1,J47),1,MIN(Исходные!$C$32,J47+1)))/Исходные!$C$32</f>
        <v>19.1597320960636</v>
      </c>
      <c r="K99" s="15" t="n">
        <f aca="true">SUM(OFFSET(K98,0,-MIN(Исходные!$C$32-1,K47),1,MIN(Исходные!$C$32,K47+1)))/Исходные!$C$32</f>
        <v>19.1597320960636</v>
      </c>
      <c r="L99" s="15" t="n">
        <f aca="true">SUM(OFFSET(L98,0,-MIN(Исходные!$C$32-1,L47),1,MIN(Исходные!$C$32,L47+1)))/Исходные!$C$32</f>
        <v>19.1597320960636</v>
      </c>
      <c r="M99" s="15" t="n">
        <f aca="true">SUM(OFFSET(M98,0,-MIN(Исходные!$C$32-1,M47),1,MIN(Исходные!$C$32,M47+1)))/Исходные!$C$32</f>
        <v>19.1597320960636</v>
      </c>
      <c r="N99" s="15" t="n">
        <f aca="true">SUM(OFFSET(N98,0,-MIN(Исходные!$C$32-1,N47),1,MIN(Исходные!$C$32,N47+1)))/Исходные!$C$32</f>
        <v>19.1597320960636</v>
      </c>
      <c r="O99" s="15" t="n">
        <f aca="true">SUM(OFFSET(O98,0,-MIN(Исходные!$C$32-1,O47),1,MIN(Исходные!$C$32,O47+1)))/Исходные!$C$32</f>
        <v>19.3311606674921</v>
      </c>
      <c r="P99" s="15" t="n">
        <f aca="true">SUM(OFFSET(P98,0,-MIN(Исходные!$C$32-1,P47),1,MIN(Исходные!$C$32,P47+1)))/Исходные!$C$32</f>
        <v>20.4003007891083</v>
      </c>
      <c r="Q99" s="15" t="n">
        <f aca="true">SUM(OFFSET(Q98,0,-MIN(Исходные!$C$32-1,Q47),1,MIN(Исходные!$C$32,Q47+1)))/Исходные!$C$32</f>
        <v>21.7686780941204</v>
      </c>
      <c r="R99" s="15" t="n">
        <f aca="true">SUM(OFFSET(R98,0,-MIN(Исходные!$C$32-1,R47),1,MIN(Исходные!$C$32,R47+1)))/Исходные!$C$32</f>
        <v>21.940106665549</v>
      </c>
      <c r="S99" s="15" t="n">
        <f aca="true">SUM(OFFSET(S98,0,-MIN(Исходные!$C$32-1,S47),1,MIN(Исходные!$C$32,S47+1)))/Исходные!$C$32</f>
        <v>21.940106665549</v>
      </c>
      <c r="T99" s="15" t="n">
        <f aca="true">SUM(OFFSET(T98,0,-MIN(Исходные!$C$32-1,T47),1,MIN(Исходные!$C$32,T47+1)))/Исходные!$C$32</f>
        <v>21.940106665549</v>
      </c>
      <c r="U99" s="15" t="n">
        <f aca="true">SUM(OFFSET(U98,0,-MIN(Исходные!$C$32-1,U47),1,MIN(Исходные!$C$32,U47+1)))/Исходные!$C$32</f>
        <v>21.940106665549</v>
      </c>
      <c r="V99" s="15" t="n">
        <f aca="true">SUM(OFFSET(V98,0,-MIN(Исходные!$C$32-1,V47),1,MIN(Исходные!$C$32,V47+1)))/Исходные!$C$32</f>
        <v>21.940106665549</v>
      </c>
      <c r="W99" s="15" t="n">
        <f aca="true">SUM(OFFSET(W98,0,-MIN(Исходные!$C$32-1,W47),1,MIN(Исходные!$C$32,W47+1)))/Исходные!$C$32</f>
        <v>21.940106665549</v>
      </c>
      <c r="X99" s="15" t="n">
        <f aca="true">SUM(OFFSET(X98,0,-MIN(Исходные!$C$32-1,X47),1,MIN(Исходные!$C$32,X47+1)))/Исходные!$C$32</f>
        <v>4.43446616021184</v>
      </c>
      <c r="Y99" s="15" t="n">
        <f aca="true">SUM(OFFSET(Y98,0,-MIN(Исходные!$C$32-1,Y47),1,MIN(Исходные!$C$32,Y47+1)))/Исходные!$C$32</f>
        <v>3.97732330306898</v>
      </c>
      <c r="Z99" s="15" t="n">
        <f aca="true">SUM(OFFSET(Z98,0,-MIN(Исходные!$C$32-1,Z47),1,MIN(Исходные!$C$32,Z47+1)))/Исходные!$C$32</f>
        <v>3.97732330306898</v>
      </c>
      <c r="AA99" s="15" t="n">
        <f aca="true">SUM(OFFSET(AA98,0,-MIN(Исходные!$C$32-1,AA47),1,MIN(Исходные!$C$32,AA47+1)))/Исходные!$C$32</f>
        <v>3.97732330306898</v>
      </c>
      <c r="AB99" s="15" t="n">
        <f aca="true">SUM(OFFSET(AB98,0,-MIN(Исходные!$C$32-1,AB47),1,MIN(Исходные!$C$32,AB47+1)))/Исходные!$C$32</f>
        <v>3.97732330306898</v>
      </c>
      <c r="AC99" s="15" t="n">
        <f aca="true">SUM(OFFSET(AC98,0,-MIN(Исходные!$C$32-1,AC47),1,MIN(Исходные!$C$32,AC47+1)))/Исходные!$C$32</f>
        <v>3.97732330306898</v>
      </c>
      <c r="AD99" s="15" t="n">
        <f aca="true">SUM(OFFSET(AD98,0,-MIN(Исходные!$C$32-1,AD47),1,MIN(Исходные!$C$32,AD47+1)))/Исходные!$C$32</f>
        <v>3.80589473164041</v>
      </c>
      <c r="AE99" s="15" t="n">
        <f aca="true">SUM(OFFSET(AE98,0,-MIN(Исходные!$C$32-1,AE47),1,MIN(Исходные!$C$32,AE47+1)))/Исходные!$C$32</f>
        <v>2.73675461002419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18.7025892389207</v>
      </c>
      <c r="J100" s="15" t="n">
        <f aca="false">I100+J99</f>
        <v>37.8623213349843</v>
      </c>
      <c r="K100" s="15" t="n">
        <f aca="false">J100+K99</f>
        <v>57.0220534310478</v>
      </c>
      <c r="L100" s="15" t="n">
        <f aca="false">K100+L99</f>
        <v>76.1817855271114</v>
      </c>
      <c r="M100" s="15" t="n">
        <f aca="false">L100+M99</f>
        <v>95.3415176231749</v>
      </c>
      <c r="N100" s="15" t="n">
        <f aca="false">M100+N99</f>
        <v>114.501249719238</v>
      </c>
      <c r="O100" s="15" t="n">
        <f aca="false">N100+O99</f>
        <v>133.832410386731</v>
      </c>
      <c r="P100" s="15" t="n">
        <f aca="false">O100+P99</f>
        <v>154.232711175839</v>
      </c>
      <c r="Q100" s="15" t="n">
        <f aca="false">P100+Q99</f>
        <v>176.001389269959</v>
      </c>
      <c r="R100" s="15" t="n">
        <f aca="false">Q100+R99</f>
        <v>197.941495935508</v>
      </c>
      <c r="S100" s="15" t="n">
        <f aca="false">R100+S99</f>
        <v>219.881602601057</v>
      </c>
      <c r="T100" s="15" t="n">
        <f aca="false">S100+T99</f>
        <v>241.821709266606</v>
      </c>
      <c r="U100" s="15" t="n">
        <f aca="false">T100+U99</f>
        <v>263.761815932155</v>
      </c>
      <c r="V100" s="15" t="n">
        <f aca="false">U100+V99</f>
        <v>285.701922597705</v>
      </c>
      <c r="W100" s="15" t="n">
        <f aca="false">V100+W99</f>
        <v>307.642029263254</v>
      </c>
      <c r="X100" s="15" t="n">
        <f aca="false">W100+X99</f>
        <v>312.076495423465</v>
      </c>
      <c r="Y100" s="15" t="n">
        <f aca="false">X100+Y99</f>
        <v>316.053818726534</v>
      </c>
      <c r="Z100" s="15" t="n">
        <f aca="false">Y100+Z99</f>
        <v>320.031142029603</v>
      </c>
      <c r="AA100" s="15" t="n">
        <f aca="false">Z100+AA99</f>
        <v>324.008465332672</v>
      </c>
      <c r="AB100" s="15" t="n">
        <f aca="false">AA100+AB99</f>
        <v>327.985788635741</v>
      </c>
      <c r="AC100" s="15" t="n">
        <f aca="false">AB100+AC99</f>
        <v>331.96311193881</v>
      </c>
      <c r="AD100" s="15" t="n">
        <f aca="false">AC100+AD99</f>
        <v>335.769006670451</v>
      </c>
      <c r="AE100" s="15" t="n">
        <f aca="false">AD100+AE99</f>
        <v>338.505761280475</v>
      </c>
      <c r="AF100" s="15" t="n">
        <f aca="false">AE100+AF99</f>
        <v>339.874138585487</v>
      </c>
      <c r="AG100" s="15" t="n">
        <f aca="false">AF100+AG99</f>
        <v>341.071087319071</v>
      </c>
      <c r="AH100" s="15" t="n">
        <f aca="false">AG100+AH99</f>
        <v>342.268036052654</v>
      </c>
      <c r="AI100" s="15" t="n">
        <f aca="false">AH100+AI99</f>
        <v>343.464984786238</v>
      </c>
      <c r="AJ100" s="15" t="n">
        <f aca="false">AI100+AJ99</f>
        <v>344.661933519821</v>
      </c>
      <c r="AK100" s="15" t="n">
        <f aca="false">AJ100+AK99</f>
        <v>345.858882253405</v>
      </c>
      <c r="AL100" s="15" t="n">
        <f aca="false">AK100+AL99</f>
        <v>347.055830986988</v>
      </c>
      <c r="AM100" s="15" t="n">
        <f aca="false">AL100+AM99</f>
        <v>347.055830986988</v>
      </c>
      <c r="AN100" s="15" t="n">
        <f aca="false">AM100+AN99</f>
        <v>347.055830986988</v>
      </c>
      <c r="AO100" s="15" t="n">
        <f aca="false">AN100+AO99</f>
        <v>347.055830986988</v>
      </c>
      <c r="AP100" s="15" t="n">
        <f aca="false">AO100+AP99</f>
        <v>347.055830986988</v>
      </c>
      <c r="AQ100" s="15" t="n">
        <f aca="false">AP100+AQ99</f>
        <v>347.055830986988</v>
      </c>
      <c r="AR100" s="15" t="n">
        <f aca="false">AQ100+AR99</f>
        <v>347.055830986988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54.909971804866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5.91125462844472</v>
      </c>
      <c r="J101" s="15" t="n">
        <f aca="false">J96*Исходные!$C$31*(J94-J100)</f>
        <v>5.48974052233132</v>
      </c>
      <c r="K101" s="15" t="n">
        <f aca="false">K96*Исходные!$C$31*(K94-K100)</f>
        <v>5.06822641621792</v>
      </c>
      <c r="L101" s="15" t="n">
        <f aca="false">L96*Исходные!$C$31*(L94-L100)</f>
        <v>4.64671231010452</v>
      </c>
      <c r="M101" s="15" t="n">
        <f aca="false">M96*Исходные!$C$31*(M94-M100)</f>
        <v>4.22519820399113</v>
      </c>
      <c r="N101" s="15" t="n">
        <f aca="false">N96*Исходные!$C$31*(N94-N100)</f>
        <v>3.86025552644916</v>
      </c>
      <c r="O101" s="15" t="n">
        <f aca="false">O96*Исходные!$C$31*(O94-O100)</f>
        <v>3.78778623189768</v>
      </c>
      <c r="P101" s="15" t="n">
        <f aca="false">P96*Исходные!$C$31*(P94-P100)</f>
        <v>3.79054412519129</v>
      </c>
      <c r="Q101" s="15" t="n">
        <f aca="false">Q96*Исходные!$C$31*(Q94-Q100)</f>
        <v>3.36820463569207</v>
      </c>
      <c r="R101" s="15" t="n">
        <f aca="false">R96*Исходные!$C$31*(R94-R100)</f>
        <v>2.88552228904999</v>
      </c>
      <c r="S101" s="15" t="n">
        <f aca="false">S96*Исходные!$C$31*(S94-S100)</f>
        <v>2.40283994240791</v>
      </c>
      <c r="T101" s="15" t="n">
        <f aca="false">T96*Исходные!$C$31*(T94-T100)</f>
        <v>1.92015759576583</v>
      </c>
      <c r="U101" s="15" t="n">
        <f aca="false">U96*Исходные!$C$31*(U94-U100)</f>
        <v>1.43747524912375</v>
      </c>
      <c r="V101" s="15" t="n">
        <f aca="false">V96*Исходные!$C$31*(V94-V100)</f>
        <v>0.954792902481674</v>
      </c>
      <c r="W101" s="15" t="n">
        <f aca="false">W96*Исходные!$C$31*(W94-W100)</f>
        <v>0.86710363792216</v>
      </c>
      <c r="X101" s="15" t="n">
        <f aca="false">X96*Исходные!$C$31*(X94-X100)</f>
        <v>0.769545382397499</v>
      </c>
      <c r="Y101" s="15" t="n">
        <f aca="false">Y96*Исходные!$C$31*(Y94-Y100)</f>
        <v>0.682044269729981</v>
      </c>
      <c r="Z101" s="15" t="n">
        <f aca="false">Z96*Исходные!$C$31*(Z94-Z100)</f>
        <v>0.594543157062463</v>
      </c>
      <c r="AA101" s="15" t="n">
        <f aca="false">AA96*Исходные!$C$31*(AA94-AA100)</f>
        <v>0.507042044394945</v>
      </c>
      <c r="AB101" s="15" t="n">
        <f aca="false">AB96*Исходные!$C$31*(AB94-AB100)</f>
        <v>0.419540931727427</v>
      </c>
      <c r="AC101" s="15" t="n">
        <f aca="false">AC96*Исходные!$C$31*(AC94-AC100)</f>
        <v>0.332039819059909</v>
      </c>
      <c r="AD101" s="15" t="n">
        <f aca="false">AD96*Исходные!$C$31*(AD94-AD100)</f>
        <v>0.24831013496382</v>
      </c>
      <c r="AE101" s="15" t="n">
        <f aca="false">AE96*Исходные!$C$31*(AE94-AE100)</f>
        <v>0.188101533543287</v>
      </c>
      <c r="AF101" s="15" t="n">
        <f aca="false">AF96*Исходные!$C$31*(AF94-AF100)</f>
        <v>0.157997232833022</v>
      </c>
      <c r="AG101" s="15" t="n">
        <f aca="false">AG96*Исходные!$C$31*(AG94-AG100)</f>
        <v>0.131664360694183</v>
      </c>
      <c r="AH101" s="15" t="n">
        <f aca="false">AH96*Исходные!$C$31*(AH94-AH100)</f>
        <v>0.105331488555345</v>
      </c>
      <c r="AI101" s="15" t="n">
        <f aca="false">AI96*Исходные!$C$31*(AI94-AI100)</f>
        <v>0.078998616416507</v>
      </c>
      <c r="AJ101" s="15" t="n">
        <f aca="false">AJ96*Исходные!$C$31*(AJ94-AJ100)</f>
        <v>0.0526657442776689</v>
      </c>
      <c r="AK101" s="15" t="n">
        <f aca="false">AK96*Исходные!$C$31*(AK94-AK100)</f>
        <v>0.0263328721388307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1234.59178338841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14.1144736806312</v>
      </c>
      <c r="J102" s="15" t="n">
        <f aca="false">J73-J74-J97-J101</f>
        <v>38.6166631368604</v>
      </c>
      <c r="K102" s="15" t="n">
        <f aca="false">K73-K74-K97-K101</f>
        <v>58.0467248424922</v>
      </c>
      <c r="L102" s="15" t="n">
        <f aca="false">L73-L74-L97-L101</f>
        <v>58.1098491958016</v>
      </c>
      <c r="M102" s="15" t="n">
        <f aca="false">M73-M74-M97-M101</f>
        <v>58.1729735491109</v>
      </c>
      <c r="N102" s="15" t="n">
        <f aca="false">N73-N74-N97-N101</f>
        <v>58.1409550452775</v>
      </c>
      <c r="O102" s="15" t="n">
        <f aca="false">O73-O74-O97-O101</f>
        <v>57.6144780596613</v>
      </c>
      <c r="P102" s="15" t="n">
        <f aca="false">P73-P74-P97-P101</f>
        <v>55.7929344561612</v>
      </c>
      <c r="Q102" s="15" t="n">
        <f aca="false">Q73-Q74-Q97-Q101</f>
        <v>55.8207984401014</v>
      </c>
      <c r="R102" s="15" t="n">
        <f aca="false">R73-R74-R97-R101</f>
        <v>55.9475767097558</v>
      </c>
      <c r="S102" s="15" t="n">
        <f aca="false">S73-S74-S97-S101</f>
        <v>56.0743549794103</v>
      </c>
      <c r="T102" s="15" t="n">
        <f aca="false">T73-T74-T97-T101</f>
        <v>56.2011332490647</v>
      </c>
      <c r="U102" s="15" t="n">
        <f aca="false">U73-U74-U97-U101</f>
        <v>56.3386964907491</v>
      </c>
      <c r="V102" s="15" t="n">
        <f aca="false">V73-V74-V97-V101</f>
        <v>52.4792581508449</v>
      </c>
      <c r="W102" s="15" t="n">
        <f aca="false">W73-W74-W97-W101</f>
        <v>48.2561543355046</v>
      </c>
      <c r="X102" s="15" t="n">
        <f aca="false">X73-X74-X97-X101</f>
        <v>44.5920581699987</v>
      </c>
      <c r="Y102" s="15" t="n">
        <f aca="false">Y73-Y74-Y97-Y101</f>
        <v>41.178355433638</v>
      </c>
      <c r="Z102" s="15" t="n">
        <f aca="false">Z73-Z74-Z97-Z101</f>
        <v>38.0070701134222</v>
      </c>
      <c r="AA102" s="15" t="n">
        <f aca="false">AA73-AA74-AA97-AA101</f>
        <v>35.0614176386195</v>
      </c>
      <c r="AB102" s="15" t="n">
        <f aca="false">AB73-AB74-AB97-AB101</f>
        <v>32.3257755737075</v>
      </c>
      <c r="AC102" s="15" t="n">
        <f aca="false">AC73-AC74-AC97-AC101</f>
        <v>29.7856031541022</v>
      </c>
      <c r="AD102" s="15" t="n">
        <f aca="false">AD73-AD74-AD97-AD101</f>
        <v>27.4235949645255</v>
      </c>
      <c r="AE102" s="15" t="n">
        <f aca="false">AE73-AE74-AE97-AE101</f>
        <v>25.2074044344514</v>
      </c>
      <c r="AF102" s="15" t="n">
        <f aca="false">AF73-AF74-AF97-AF101</f>
        <v>23.1187236185506</v>
      </c>
      <c r="AG102" s="15" t="n">
        <f aca="false">AG73-AG74-AG97-AG101</f>
        <v>21.1729724618993</v>
      </c>
      <c r="AH102" s="15" t="n">
        <f aca="false">AH73-AH74-AH97-AH101</f>
        <v>19.3637650585666</v>
      </c>
      <c r="AI102" s="15" t="n">
        <f aca="false">AI73-AI74-AI97-AI101</f>
        <v>17.6816473506635</v>
      </c>
      <c r="AJ102" s="15" t="n">
        <f aca="false">AJ73-AJ74-AJ97-AJ101</f>
        <v>16.1178198632341</v>
      </c>
      <c r="AK102" s="15" t="n">
        <f aca="false">AK73-AK74-AK97-AK101</f>
        <v>14.6640923820439</v>
      </c>
      <c r="AL102" s="15" t="n">
        <f aca="false">AL73-AL74-AL97-AL101</f>
        <v>13.3128417694005</v>
      </c>
      <c r="AM102" s="15" t="n">
        <f aca="false">AM73-AM74-AM97-AM101</f>
        <v>12.030639828597</v>
      </c>
      <c r="AN102" s="15" t="n">
        <f aca="false">AN73-AN74-AN97-AN101</f>
        <v>10.8372153754431</v>
      </c>
      <c r="AO102" s="15" t="n">
        <f aca="false">AO73-AO74-AO97-AO101</f>
        <v>9.72642160726858</v>
      </c>
      <c r="AP102" s="15" t="n">
        <f aca="false">AP73-AP74-AP97-AP101</f>
        <v>8.6925373155947</v>
      </c>
      <c r="AQ102" s="15" t="n">
        <f aca="false">AQ73-AQ74-AQ97-AQ101</f>
        <v>7.73023741871403</v>
      </c>
      <c r="AR102" s="15" t="n">
        <f aca="false">AR73-AR74-AR97-AR101</f>
        <v>6.83456553454479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223.031016989929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4.86423276019922</v>
      </c>
      <c r="K103" s="15" t="n">
        <f aca="false">MAX(0,K102-K99)*Исходные!$C$30</f>
        <v>9.72174818660716</v>
      </c>
      <c r="L103" s="15" t="n">
        <f aca="false">MAX(0,L102-L99)*Исходные!$C$30</f>
        <v>9.7375292749345</v>
      </c>
      <c r="M103" s="15" t="n">
        <f aca="false">MAX(0,M102-M99)*Исходные!$C$30</f>
        <v>9.75331036326185</v>
      </c>
      <c r="N103" s="15" t="n">
        <f aca="false">MAX(0,N102-N99)*Исходные!$C$30</f>
        <v>9.74530573730348</v>
      </c>
      <c r="O103" s="15" t="n">
        <f aca="false">MAX(0,O102-O99)*Исходные!$C$30</f>
        <v>9.57082934804229</v>
      </c>
      <c r="P103" s="15" t="n">
        <f aca="false">MAX(0,P102-P99)*Исходные!$C$30</f>
        <v>8.84815841676322</v>
      </c>
      <c r="Q103" s="15" t="n">
        <f aca="false">MAX(0,Q102-Q99)*Исходные!$C$30</f>
        <v>8.51303008649524</v>
      </c>
      <c r="R103" s="15" t="n">
        <f aca="false">MAX(0,R102-R99)*Исходные!$C$30</f>
        <v>8.5018675110517</v>
      </c>
      <c r="S103" s="15" t="n">
        <f aca="false">MAX(0,S102-S99)*Исходные!$C$30</f>
        <v>8.53356207846531</v>
      </c>
      <c r="T103" s="15" t="n">
        <f aca="false">MAX(0,T102-T99)*Исходные!$C$30</f>
        <v>8.56525664587892</v>
      </c>
      <c r="U103" s="15" t="n">
        <f aca="false">MAX(0,U102-U99)*Исходные!$C$30</f>
        <v>8.59964745630002</v>
      </c>
      <c r="V103" s="15" t="n">
        <f aca="false">MAX(0,V102-V99)*Исходные!$C$30</f>
        <v>7.63478787132396</v>
      </c>
      <c r="W103" s="15" t="n">
        <f aca="false">MAX(0,W102-W99)*Исходные!$C$30</f>
        <v>6.57901191748891</v>
      </c>
      <c r="X103" s="15" t="n">
        <f aca="false">MAX(0,X102-X99)*Исходные!$C$30</f>
        <v>10.0393980024467</v>
      </c>
      <c r="Y103" s="15" t="n">
        <f aca="false">MAX(0,Y102-Y99)*Исходные!$C$30</f>
        <v>9.30025803264225</v>
      </c>
      <c r="Z103" s="15" t="n">
        <f aca="false">MAX(0,Z102-Z99)*Исходные!$C$30</f>
        <v>8.5074367025883</v>
      </c>
      <c r="AA103" s="15" t="n">
        <f aca="false">MAX(0,AA102-AA99)*Исходные!$C$30</f>
        <v>7.77102358388764</v>
      </c>
      <c r="AB103" s="15" t="n">
        <f aca="false">MAX(0,AB102-AB99)*Исходные!$C$30</f>
        <v>7.08711306765964</v>
      </c>
      <c r="AC103" s="15" t="n">
        <f aca="false">MAX(0,AC102-AC99)*Исходные!$C$30</f>
        <v>6.45206996275832</v>
      </c>
      <c r="AD103" s="15" t="n">
        <f aca="false">MAX(0,AD102-AD99)*Исходные!$C$30</f>
        <v>5.90442505822128</v>
      </c>
      <c r="AE103" s="15" t="n">
        <f aca="false">MAX(0,AE102-AE99)*Исходные!$C$30</f>
        <v>5.6176624561068</v>
      </c>
      <c r="AF103" s="15" t="n">
        <f aca="false">MAX(0,AF102-AF99)*Исходные!$C$30</f>
        <v>5.43758657838463</v>
      </c>
      <c r="AG103" s="15" t="n">
        <f aca="false">MAX(0,AG102-AG99)*Исходные!$C$30</f>
        <v>4.99400593207894</v>
      </c>
      <c r="AH103" s="15" t="n">
        <f aca="false">MAX(0,AH102-AH99)*Исходные!$C$30</f>
        <v>4.54170408124578</v>
      </c>
      <c r="AI103" s="15" t="n">
        <f aca="false">MAX(0,AI102-AI99)*Исходные!$C$30</f>
        <v>4.12117465426999</v>
      </c>
      <c r="AJ103" s="15" t="n">
        <f aca="false">MAX(0,AJ102-AJ99)*Исходные!$C$30</f>
        <v>3.73021778241264</v>
      </c>
      <c r="AK103" s="15" t="n">
        <f aca="false">MAX(0,AK102-AK99)*Исходные!$C$30</f>
        <v>3.36678591211508</v>
      </c>
      <c r="AL103" s="15" t="n">
        <f aca="false">MAX(0,AL102-AL99)*Исходные!$C$30</f>
        <v>3.02897325895423</v>
      </c>
      <c r="AM103" s="15" t="n">
        <f aca="false">MAX(0,AM102-AM99)*Исходные!$C$30</f>
        <v>3.00765995714925</v>
      </c>
      <c r="AN103" s="15" t="n">
        <f aca="false">MAX(0,AN102-AN99)*Исходные!$C$30</f>
        <v>2.70930384386077</v>
      </c>
      <c r="AO103" s="15" t="n">
        <f aca="false">MAX(0,AO102-AO99)*Исходные!$C$30</f>
        <v>2.43160540181715</v>
      </c>
      <c r="AP103" s="15" t="n">
        <f aca="false">MAX(0,AP102-AP99)*Исходные!$C$30</f>
        <v>2.17313432889867</v>
      </c>
      <c r="AQ103" s="15" t="n">
        <f aca="false">MAX(0,AQ102-AQ99)*Исходные!$C$30</f>
        <v>1.93255935467851</v>
      </c>
      <c r="AR103" s="15" t="n">
        <f aca="false">MAX(0,AR102-AR99)*Исходные!$C$30</f>
        <v>1.7086413836362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664.504935411496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-110.561372322311</v>
      </c>
      <c r="H105" s="15" t="n">
        <f aca="false">H102-H103-H93</f>
        <v>-78.078604963647</v>
      </c>
      <c r="I105" s="15" t="n">
        <f aca="false">I102-I103-I93</f>
        <v>7.2573308234883</v>
      </c>
      <c r="J105" s="15" t="n">
        <f aca="false">J102-J103-J93</f>
        <v>33.7524303766612</v>
      </c>
      <c r="K105" s="15" t="n">
        <f aca="false">K102-K103-K93</f>
        <v>48.324976655885</v>
      </c>
      <c r="L105" s="15" t="n">
        <f aca="false">L102-L103-L93</f>
        <v>48.3723199208671</v>
      </c>
      <c r="M105" s="15" t="n">
        <f aca="false">M102-M103-M93</f>
        <v>48.4196631858491</v>
      </c>
      <c r="N105" s="15" t="n">
        <f aca="false">N102-N103-N93</f>
        <v>45.8242207365454</v>
      </c>
      <c r="O105" s="15" t="n">
        <f aca="false">O102-O103-O93</f>
        <v>32.0065468873757</v>
      </c>
      <c r="P105" s="15" t="n">
        <f aca="false">P102-P103-P93</f>
        <v>26.4191164642165</v>
      </c>
      <c r="Q105" s="15" t="n">
        <f aca="false">Q102-Q103-Q93</f>
        <v>44.7363397821776</v>
      </c>
      <c r="R105" s="15" t="n">
        <f aca="false">R102-R103-R93</f>
        <v>47.4457091987041</v>
      </c>
      <c r="S105" s="15" t="n">
        <f aca="false">S102-S103-S93</f>
        <v>47.540792900945</v>
      </c>
      <c r="T105" s="15" t="n">
        <f aca="false">T102-T103-T93</f>
        <v>47.6358766031858</v>
      </c>
      <c r="U105" s="15" t="n">
        <f aca="false">U102-U103-U93</f>
        <v>47.7390490344491</v>
      </c>
      <c r="V105" s="15" t="n">
        <f aca="false">V102-V103-V93</f>
        <v>44.8444702795209</v>
      </c>
      <c r="W105" s="15" t="n">
        <f aca="false">W102-W103-W93</f>
        <v>23.7229114142628</v>
      </c>
      <c r="X105" s="15" t="n">
        <f aca="false">X102-X103-X93</f>
        <v>34.552660167552</v>
      </c>
      <c r="Y105" s="15" t="n">
        <f aca="false">Y102-Y103-Y93</f>
        <v>31.8780974009957</v>
      </c>
      <c r="Z105" s="15" t="n">
        <f aca="false">Z102-Z103-Z93</f>
        <v>29.4996334108339</v>
      </c>
      <c r="AA105" s="15" t="n">
        <f aca="false">AA102-AA103-AA93</f>
        <v>27.2903940547319</v>
      </c>
      <c r="AB105" s="15" t="n">
        <f aca="false">AB102-AB103-AB93</f>
        <v>25.2386625060479</v>
      </c>
      <c r="AC105" s="15" t="n">
        <f aca="false">AC102-AC103-AC93</f>
        <v>23.3335331913439</v>
      </c>
      <c r="AD105" s="15" t="n">
        <f aca="false">AD102-AD103-AD93</f>
        <v>21.5191699063043</v>
      </c>
      <c r="AE105" s="15" t="n">
        <f aca="false">AE102-AE103-AE93</f>
        <v>19.5897419783446</v>
      </c>
      <c r="AF105" s="15" t="n">
        <f aca="false">AF102-AF103-AF93</f>
        <v>17.681137040166</v>
      </c>
      <c r="AG105" s="15" t="n">
        <f aca="false">AG102-AG103-AG93</f>
        <v>16.1789665298204</v>
      </c>
      <c r="AH105" s="15" t="n">
        <f aca="false">AH102-AH103-AH93</f>
        <v>14.8220609773209</v>
      </c>
      <c r="AI105" s="15" t="n">
        <f aca="false">AI102-AI103-AI93</f>
        <v>13.5604726963935</v>
      </c>
      <c r="AJ105" s="15" t="n">
        <f aca="false">AJ102-AJ103-AJ93</f>
        <v>12.3876020808214</v>
      </c>
      <c r="AK105" s="15" t="n">
        <f aca="false">AK102-AK103-AK93</f>
        <v>11.2973064699288</v>
      </c>
      <c r="AL105" s="15" t="n">
        <f aca="false">AL102-AL103-AL93</f>
        <v>10.2838685104462</v>
      </c>
      <c r="AM105" s="15" t="n">
        <f aca="false">AM102-AM103-AM93</f>
        <v>9.02297987144776</v>
      </c>
      <c r="AN105" s="15" t="n">
        <f aca="false">AN102-AN103-AN93</f>
        <v>8.12791153158232</v>
      </c>
      <c r="AO105" s="15" t="n">
        <f aca="false">AO102-AO103-AO93</f>
        <v>7.29481620545144</v>
      </c>
      <c r="AP105" s="15" t="n">
        <f aca="false">AP102-AP103-AP93</f>
        <v>6.51940298669602</v>
      </c>
      <c r="AQ105" s="15" t="n">
        <f aca="false">AQ102-AQ103-AQ93</f>
        <v>5.79767806403552</v>
      </c>
      <c r="AR105" s="15" t="n">
        <f aca="false">AR102-AR103-AR93</f>
        <v>5.12592415090859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15.105131949982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-87.1207705165098</v>
      </c>
      <c r="H107" s="15" t="n">
        <f aca="false">H105*H106</f>
        <v>-55.9316520310463</v>
      </c>
      <c r="I107" s="15" t="n">
        <f aca="false">I105*I106</f>
        <v>4.72617542379277</v>
      </c>
      <c r="J107" s="15" t="n">
        <f aca="false">J105*J106</f>
        <v>19.9822911129164</v>
      </c>
      <c r="K107" s="15" t="n">
        <f aca="false">K105*K106</f>
        <v>26.0087331836459</v>
      </c>
      <c r="L107" s="15" t="n">
        <f aca="false">L105*L106</f>
        <v>23.6674668681083</v>
      </c>
      <c r="M107" s="15" t="n">
        <f aca="false">M105*M106</f>
        <v>21.5369371290845</v>
      </c>
      <c r="N107" s="15" t="n">
        <f aca="false">N105*N106</f>
        <v>18.5295374958461</v>
      </c>
      <c r="O107" s="15" t="n">
        <f aca="false">O105*O106</f>
        <v>11.7656419392044</v>
      </c>
      <c r="P107" s="15" t="n">
        <f aca="false">P105*P106</f>
        <v>8.82881486607564</v>
      </c>
      <c r="Q107" s="15" t="n">
        <f aca="false">Q105*Q106</f>
        <v>13.5910147507175</v>
      </c>
      <c r="R107" s="15" t="n">
        <f aca="false">R105*R106</f>
        <v>13.1037528432257</v>
      </c>
      <c r="S107" s="15" t="n">
        <f aca="false">S105*S106</f>
        <v>11.9363758678745</v>
      </c>
      <c r="T107" s="15" t="n">
        <f aca="false">T105*T106</f>
        <v>10.8729537736348</v>
      </c>
      <c r="U107" s="15" t="n">
        <f aca="false">U105*U106</f>
        <v>9.90591183792642</v>
      </c>
      <c r="V107" s="15" t="n">
        <f aca="false">V105*V106</f>
        <v>8.45934832637337</v>
      </c>
      <c r="W107" s="15" t="n">
        <f aca="false">W105*W106</f>
        <v>4.068209519339</v>
      </c>
      <c r="X107" s="15" t="n">
        <f aca="false">X105*X106</f>
        <v>5.38671660862333</v>
      </c>
      <c r="Y107" s="15" t="n">
        <f aca="false">Y105*Y106</f>
        <v>4.51795964580029</v>
      </c>
      <c r="Z107" s="15" t="n">
        <f aca="false">Z105*Z106</f>
        <v>3.80079011730042</v>
      </c>
      <c r="AA107" s="15" t="n">
        <f aca="false">AA105*AA106</f>
        <v>3.19649765799726</v>
      </c>
      <c r="AB107" s="15" t="n">
        <f aca="false">AB105*AB106</f>
        <v>2.68743664661466</v>
      </c>
      <c r="AC107" s="15" t="n">
        <f aca="false">AC105*AC106</f>
        <v>2.25870606899923</v>
      </c>
      <c r="AD107" s="15" t="n">
        <f aca="false">AD105*AD106</f>
        <v>1.89370376681068</v>
      </c>
      <c r="AE107" s="15" t="n">
        <f aca="false">AE105*AE106</f>
        <v>1.5671932740885</v>
      </c>
      <c r="AF107" s="15" t="n">
        <f aca="false">AF105*AF106</f>
        <v>1.28591229384778</v>
      </c>
      <c r="AG107" s="15" t="n">
        <f aca="false">AG105*AG106</f>
        <v>1.0696932358009</v>
      </c>
      <c r="AH107" s="15" t="n">
        <f aca="false">AH105*AH106</f>
        <v>0.890890613992572</v>
      </c>
      <c r="AI107" s="15" t="n">
        <f aca="false">AI105*AI106</f>
        <v>0.740965404388182</v>
      </c>
      <c r="AJ107" s="15" t="n">
        <f aca="false">AJ105*AJ106</f>
        <v>0.615343565799343</v>
      </c>
      <c r="AK107" s="15" t="n">
        <f aca="false">AK105*AK106</f>
        <v>0.510167328575652</v>
      </c>
      <c r="AL107" s="15" t="n">
        <f aca="false">AL105*AL106</f>
        <v>0.422183797797914</v>
      </c>
      <c r="AM107" s="15" t="n">
        <f aca="false">AM105*AM106</f>
        <v>0.336745926241176</v>
      </c>
      <c r="AN107" s="15" t="n">
        <f aca="false">AN105*AN106</f>
        <v>0.275764682470779</v>
      </c>
      <c r="AO107" s="15" t="n">
        <f aca="false">AO105*AO106</f>
        <v>0.224999392722496</v>
      </c>
      <c r="AP107" s="15" t="n">
        <f aca="false">AP105*AP106</f>
        <v>0.182802501194259</v>
      </c>
      <c r="AQ107" s="15" t="n">
        <f aca="false">AQ105*AQ106</f>
        <v>0.147786824455545</v>
      </c>
      <c r="AR107" s="15" t="n">
        <f aca="false">AR105*AR106</f>
        <v>0.118784865924799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-168.077425176183</v>
      </c>
      <c r="H108" s="15" t="n">
        <f aca="false">G108+H107</f>
        <v>-224.009077207229</v>
      </c>
      <c r="I108" s="15" t="n">
        <f aca="false">H108+I107</f>
        <v>-219.282901783436</v>
      </c>
      <c r="J108" s="15" t="n">
        <f aca="false">I108+J107</f>
        <v>-199.30061067052</v>
      </c>
      <c r="K108" s="15" t="n">
        <f aca="false">J108+K107</f>
        <v>-173.291877486874</v>
      </c>
      <c r="L108" s="15" t="n">
        <f aca="false">K108+L107</f>
        <v>-149.624410618766</v>
      </c>
      <c r="M108" s="15" t="n">
        <f aca="false">L108+M107</f>
        <v>-128.087473489681</v>
      </c>
      <c r="N108" s="15" t="n">
        <f aca="false">M108+N107</f>
        <v>-109.557935993835</v>
      </c>
      <c r="O108" s="15" t="n">
        <f aca="false">N108+O107</f>
        <v>-97.7922940546306</v>
      </c>
      <c r="P108" s="15" t="n">
        <f aca="false">O108+P107</f>
        <v>-88.963479188555</v>
      </c>
      <c r="Q108" s="15" t="n">
        <f aca="false">P108+Q107</f>
        <v>-75.3724644378374</v>
      </c>
      <c r="R108" s="15" t="n">
        <f aca="false">Q108+R107</f>
        <v>-62.2687115946117</v>
      </c>
      <c r="S108" s="15" t="n">
        <f aca="false">R108+S107</f>
        <v>-50.3323357267373</v>
      </c>
      <c r="T108" s="15" t="n">
        <f aca="false">S108+T107</f>
        <v>-39.4593819531025</v>
      </c>
      <c r="U108" s="15" t="n">
        <f aca="false">T108+U107</f>
        <v>-29.5534701151761</v>
      </c>
      <c r="V108" s="15" t="n">
        <f aca="false">U108+V107</f>
        <v>-21.0941217888027</v>
      </c>
      <c r="W108" s="15" t="n">
        <f aca="false">V108+W107</f>
        <v>-17.0259122694637</v>
      </c>
      <c r="X108" s="15" t="n">
        <f aca="false">W108+X107</f>
        <v>-11.6391956608404</v>
      </c>
      <c r="Y108" s="15" t="n">
        <f aca="false">X108+Y107</f>
        <v>-7.12123601504007</v>
      </c>
      <c r="Z108" s="15" t="n">
        <f aca="false">Y108+Z107</f>
        <v>-3.32044589773965</v>
      </c>
      <c r="AA108" s="15" t="n">
        <f aca="false">Z108+AA107</f>
        <v>-0.123948239742386</v>
      </c>
      <c r="AB108" s="15" t="n">
        <f aca="false">AA108+AB107</f>
        <v>2.56348840687227</v>
      </c>
      <c r="AC108" s="15" t="n">
        <f aca="false">AB108+AC107</f>
        <v>4.82219447587151</v>
      </c>
      <c r="AD108" s="15" t="n">
        <f aca="false">AC108+AD107</f>
        <v>6.71589824268219</v>
      </c>
      <c r="AE108" s="15" t="n">
        <f aca="false">AD108+AE107</f>
        <v>8.28309151677069</v>
      </c>
      <c r="AF108" s="15" t="n">
        <f aca="false">AE108+AF107</f>
        <v>9.56900381061847</v>
      </c>
      <c r="AG108" s="15" t="n">
        <f aca="false">AF108+AG107</f>
        <v>10.6386970464194</v>
      </c>
      <c r="AH108" s="15" t="n">
        <f aca="false">AG108+AH107</f>
        <v>11.5295876604119</v>
      </c>
      <c r="AI108" s="15" t="n">
        <f aca="false">AH108+AI107</f>
        <v>12.2705530648001</v>
      </c>
      <c r="AJ108" s="15" t="n">
        <f aca="false">AI108+AJ107</f>
        <v>12.8858966305995</v>
      </c>
      <c r="AK108" s="15" t="n">
        <f aca="false">AJ108+AK107</f>
        <v>13.3960639591751</v>
      </c>
      <c r="AL108" s="15" t="n">
        <f aca="false">AK108+AL107</f>
        <v>13.818247756973</v>
      </c>
      <c r="AM108" s="15" t="n">
        <f aca="false">AL108+AM107</f>
        <v>14.1549936832142</v>
      </c>
      <c r="AN108" s="15" t="n">
        <f aca="false">AM108+AN107</f>
        <v>14.430758365685</v>
      </c>
      <c r="AO108" s="15" t="n">
        <f aca="false">AN108+AO107</f>
        <v>14.6557577584075</v>
      </c>
      <c r="AP108" s="15" t="n">
        <f aca="false">AO108+AP107</f>
        <v>14.8385602596017</v>
      </c>
      <c r="AQ108" s="15" t="n">
        <f aca="false">AP108+AQ107</f>
        <v>14.9863470840573</v>
      </c>
      <c r="AR108" s="15" t="n">
        <f aca="false">AQ108+AR107</f>
        <v>15.1051319499821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0</v>
      </c>
      <c r="AB109" s="40" t="n">
        <f aca="false">IF(OR(AA109=1,AND(AB108&gt;0,AB46&gt;2031)),1,0)</f>
        <v>1</v>
      </c>
      <c r="AC109" s="40" t="n">
        <f aca="false">IF(OR(AB109=1,AND(AC108&gt;0,AC46&gt;2031)),1,0)</f>
        <v>1</v>
      </c>
      <c r="AD109" s="40" t="n">
        <f aca="false">IF(OR(AC109=1,AND(AD108&gt;0,AD46&gt;2031)),1,0)</f>
        <v>1</v>
      </c>
      <c r="AE109" s="40" t="n">
        <f aca="false">IF(OR(AD109=1,AND(AE108&gt;0,AE46&gt;2031)),1,0)</f>
        <v>1</v>
      </c>
      <c r="AF109" s="40" t="n">
        <f aca="false">IF(OR(AE109=1,AND(AF108&gt;0,AF46&gt;2031)),1,0)</f>
        <v>1</v>
      </c>
      <c r="AG109" s="40" t="n">
        <f aca="false">IF(OR(AF109=1,AND(AG108&gt;0,AG46&gt;2031)),1,0)</f>
        <v>1</v>
      </c>
      <c r="AH109" s="40" t="n">
        <f aca="false">IF(OR(AG109=1,AND(AH108&gt;0,AH46&gt;2031)),1,0)</f>
        <v>1</v>
      </c>
      <c r="AI109" s="40" t="n">
        <f aca="false">IF(OR(AH109=1,AND(AI108&gt;0,AI46&gt;2031)),1,0)</f>
        <v>1</v>
      </c>
      <c r="AJ109" s="40" t="n">
        <f aca="false">IF(OR(AI109=1,AND(AJ108&gt;0,AJ46&gt;2031)),1,0)</f>
        <v>1</v>
      </c>
      <c r="AK109" s="40" t="n">
        <f aca="false">IF(OR(AJ109=1,AND(AK108&gt;0,AK46&gt;2031)),1,0)</f>
        <v>1</v>
      </c>
      <c r="AL109" s="40" t="n">
        <f aca="false">IF(OR(AK109=1,AND(AL108&gt;0,AL46&gt;2031)),1,0)</f>
        <v>1</v>
      </c>
      <c r="AM109" s="40" t="n">
        <f aca="false">IF(OR(AL109=1,AND(AM108&gt;0,AM46&gt;2031)),1,0)</f>
        <v>1</v>
      </c>
      <c r="AN109" s="40" t="n">
        <f aca="false">IF(OR(AM109=1,AND(AN108&gt;0,AN46&gt;2031)),1,0)</f>
        <v>1</v>
      </c>
      <c r="AO109" s="40" t="n">
        <f aca="false">IF(OR(AN109=1,AND(AO108&gt;0,AO46&gt;2031)),1,0)</f>
        <v>1</v>
      </c>
      <c r="AP109" s="40" t="n">
        <f aca="false">IF(OR(AO109=1,AND(AP108&gt;0,AP46&gt;2031)),1,0)</f>
        <v>1</v>
      </c>
      <c r="AQ109" s="40" t="n">
        <f aca="false">IF(OR(AP109=1,AND(AQ108&gt;0,AQ46&gt;2031)),1,0)</f>
        <v>1</v>
      </c>
      <c r="AR109" s="40" t="n">
        <f aca="false">IF(OR(AQ109=1,AND(AR108&gt;0,AR46&gt;2031)),1,0)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413</v>
      </c>
    </row>
    <row r="3" customFormat="false" ht="15" hidden="false" customHeight="false" outlineLevel="0" collapsed="false">
      <c r="B3" s="2" t="s">
        <v>414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-9.37973474041574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0.0960533448712216</v>
      </c>
    </row>
    <row r="7" customFormat="false" ht="15" hidden="false" customHeight="false" outlineLevel="0" collapsed="false">
      <c r="B7" s="8" t="s">
        <v>32</v>
      </c>
      <c r="C7" s="40" t="str">
        <f aca="false">IF(SUM(E109:AR109)=0,"нет",2067-SUM(E109:AR109))</f>
        <v>нет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0.96857102021596</v>
      </c>
    </row>
    <row r="9" customFormat="false" ht="15" hidden="false" customHeight="false" outlineLevel="0" collapsed="false">
      <c r="B9" s="8" t="s">
        <v>34</v>
      </c>
      <c r="C9" s="41" t="n">
        <f aca="false">D93</f>
        <v>423.002304079336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Сценарии!$E$6</f>
        <v>B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Сценарии!$E$7</f>
        <v>B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Сценарии!$E$8</f>
        <v>0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Сценарии!$E$9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Сценарии!$E$10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Сценарии!$E$11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Сценарии!$E$12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Сценарии!$E$13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Сценарии!$E$14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Сценарии!$E$15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Сценарии!$E$16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Сценарии!$E$17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Сценарии!$E$18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Сценарии!$E$19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Сценарии!$E$20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Сценарии!$E$21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Сценарии!$E$22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Сценарии!$E$23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Сценарии!$E$24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32.9410184202473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72.9683236962485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955.35767883942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34.7073780977714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4937.10232007088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0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</v>
      </c>
      <c r="L59" s="54" t="n">
        <f aca="false">IF(AND($D$17=1,L46&gt;=Исходные!$C$42,L52&gt;0),$D$44,0)</f>
        <v>0</v>
      </c>
      <c r="M59" s="54" t="n">
        <f aca="false">IF(AND($D$17=1,M46&gt;=Исходные!$C$42,M52&gt;0),$D$44,0)</f>
        <v>0</v>
      </c>
      <c r="N59" s="54" t="n">
        <f aca="false">IF(AND($D$17=1,N46&gt;=Исходные!$C$42,N52&gt;0),$D$44,0)</f>
        <v>0</v>
      </c>
      <c r="O59" s="54" t="n">
        <f aca="false">IF(AND($D$17=1,O46&gt;=Исходные!$C$42,O52&gt;0),$D$44,0)</f>
        <v>0</v>
      </c>
      <c r="P59" s="54" t="n">
        <f aca="false">IF(AND($D$17=1,P46&gt;=Исходные!$C$42,P52&gt;0),$D$44,0)</f>
        <v>0</v>
      </c>
      <c r="Q59" s="54" t="n">
        <f aca="false">IF(AND($D$17=1,Q46&gt;=Исходные!$C$42,Q52&gt;0),$D$44,0)</f>
        <v>0</v>
      </c>
      <c r="R59" s="54" t="n">
        <f aca="false">IF(AND($D$17=1,R46&gt;=Исходные!$C$42,R52&gt;0),$D$44,0)</f>
        <v>0</v>
      </c>
      <c r="S59" s="54" t="n">
        <f aca="false">IF(AND($D$17=1,S46&gt;=Исходные!$C$42,S52&gt;0),$D$44,0)</f>
        <v>0</v>
      </c>
      <c r="T59" s="54" t="n">
        <f aca="false">IF(AND($D$17=1,T46&gt;=Исходные!$C$42,T52&gt;0),$D$44,0)</f>
        <v>0</v>
      </c>
      <c r="U59" s="54" t="n">
        <f aca="false">IF(AND($D$17=1,U46&gt;=Исходные!$C$42,U52&gt;0),$D$44,0)</f>
        <v>0</v>
      </c>
      <c r="V59" s="54" t="n">
        <f aca="false">IF(AND($D$17=1,V46&gt;=Исходные!$C$42,V52&gt;0),$D$44,0)</f>
        <v>0</v>
      </c>
      <c r="W59" s="54" t="n">
        <f aca="false">IF(AND($D$17=1,W46&gt;=Исходные!$C$42,W52&gt;0),$D$44,0)</f>
        <v>0</v>
      </c>
      <c r="X59" s="54" t="n">
        <f aca="false">IF(AND($D$17=1,X46&gt;=Исходные!$C$42,X52&gt;0),$D$44,0)</f>
        <v>0</v>
      </c>
      <c r="Y59" s="54" t="n">
        <f aca="false">IF(AND($D$17=1,Y46&gt;=Исходные!$C$42,Y52&gt;0),$D$44,0)</f>
        <v>0</v>
      </c>
      <c r="Z59" s="54" t="n">
        <f aca="false">IF(AND($D$17=1,Z46&gt;=Исходные!$C$42,Z52&gt;0),$D$44,0)</f>
        <v>0</v>
      </c>
      <c r="AA59" s="54" t="n">
        <f aca="false">IF(AND($D$17=1,AA46&gt;=Исходные!$C$42,AA52&gt;0),$D$44,0)</f>
        <v>0</v>
      </c>
      <c r="AB59" s="54" t="n">
        <f aca="false">IF(AND($D$17=1,AB46&gt;=Исходные!$C$42,AB52&gt;0),$D$44,0)</f>
        <v>0</v>
      </c>
      <c r="AC59" s="54" t="n">
        <f aca="false">IF(AND($D$17=1,AC46&gt;=Исходные!$C$42,AC52&gt;0),$D$44,0)</f>
        <v>0</v>
      </c>
      <c r="AD59" s="54" t="n">
        <f aca="false">IF(AND($D$17=1,AD46&gt;=Исходные!$C$42,AD52&gt;0),$D$44,0)</f>
        <v>0</v>
      </c>
      <c r="AE59" s="54" t="n">
        <f aca="false">IF(AND($D$17=1,AE46&gt;=Исходные!$C$42,AE52&gt;0),$D$44,0)</f>
        <v>0</v>
      </c>
      <c r="AF59" s="54" t="n">
        <f aca="false">IF(AND($D$17=1,AF46&gt;=Исходные!$C$42,AF52&gt;0),$D$44,0)</f>
        <v>0</v>
      </c>
      <c r="AG59" s="54" t="n">
        <f aca="false">IF(AND($D$17=1,AG46&gt;=Исходные!$C$42,AG52&gt;0),$D$44,0)</f>
        <v>0</v>
      </c>
      <c r="AH59" s="54" t="n">
        <f aca="false">IF(AND($D$17=1,AH46&gt;=Исходные!$C$42,AH52&gt;0),$D$44,0)</f>
        <v>0</v>
      </c>
      <c r="AI59" s="54" t="n">
        <f aca="false">IF(AND($D$17=1,AI46&gt;=Исходные!$C$42,AI52&gt;0),$D$44,0)</f>
        <v>0</v>
      </c>
      <c r="AJ59" s="54" t="n">
        <f aca="false">IF(AND($D$17=1,AJ46&gt;=Исходные!$C$42,AJ52&gt;0),$D$44,0)</f>
        <v>0</v>
      </c>
      <c r="AK59" s="54" t="n">
        <f aca="false">IF(AND($D$17=1,AK46&gt;=Исходные!$C$42,AK52&gt;0),$D$44,0)</f>
        <v>0</v>
      </c>
      <c r="AL59" s="54" t="n">
        <f aca="false">IF(AND($D$17=1,AL46&gt;=Исходные!$C$42,AL52&gt;0),$D$44,0)</f>
        <v>0</v>
      </c>
      <c r="AM59" s="54" t="n">
        <f aca="false">IF(AND($D$17=1,AM46&gt;=Исходные!$C$42,AM52&gt;0),$D$44,0)</f>
        <v>0</v>
      </c>
      <c r="AN59" s="54" t="n">
        <f aca="false">IF(AND($D$17=1,AN46&gt;=Исходные!$C$42,AN52&gt;0),$D$44,0)</f>
        <v>0</v>
      </c>
      <c r="AO59" s="54" t="n">
        <f aca="false">IF(AND($D$17=1,AO46&gt;=Исходные!$C$42,AO52&gt;0),$D$44,0)</f>
        <v>0</v>
      </c>
      <c r="AP59" s="54" t="n">
        <f aca="false">IF(AND($D$17=1,AP46&gt;=Исходные!$C$42,AP52&gt;0),$D$44,0)</f>
        <v>0</v>
      </c>
      <c r="AQ59" s="54" t="n">
        <f aca="false">IF(AND($D$17=1,AQ46&gt;=Исходные!$C$42,AQ52&gt;0),$D$44,0)</f>
        <v>0</v>
      </c>
      <c r="AR59" s="54" t="n">
        <f aca="false">IF(AND($D$17=1,AR46&gt;=Исходные!$C$42,AR52&gt;0),$D$44,0)</f>
        <v>0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254.756823064951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4.01250225112556</v>
      </c>
      <c r="J60" s="15" t="n">
        <f aca="false">J58*$D$37/1000-J59</f>
        <v>8.02500450225113</v>
      </c>
      <c r="K60" s="15" t="n">
        <f aca="false">K58*$D$37/1000-K59</f>
        <v>11.2350063031516</v>
      </c>
      <c r="L60" s="15" t="n">
        <f aca="false">L58*$D$37/1000-L59</f>
        <v>11.2350063031516</v>
      </c>
      <c r="M60" s="15" t="n">
        <f aca="false">M58*$D$37/1000-M59</f>
        <v>11.2350063031516</v>
      </c>
      <c r="N60" s="15" t="n">
        <f aca="false">N58*$D$37/1000-N59</f>
        <v>11.2350063031516</v>
      </c>
      <c r="O60" s="15" t="n">
        <f aca="false">O58*$D$37/1000-O59</f>
        <v>11.2350063031516</v>
      </c>
      <c r="P60" s="15" t="n">
        <f aca="false">P58*$D$37/1000-P59</f>
        <v>11.0630419209605</v>
      </c>
      <c r="Q60" s="15" t="n">
        <f aca="false">Q58*$D$37/1000-Q59</f>
        <v>11.0630419209605</v>
      </c>
      <c r="R60" s="15" t="n">
        <f aca="false">R58*$D$37/1000-R59</f>
        <v>11.0630419209605</v>
      </c>
      <c r="S60" s="15" t="n">
        <f aca="false">S58*$D$37/1000-S59</f>
        <v>11.0630419209605</v>
      </c>
      <c r="T60" s="15" t="n">
        <f aca="false">T58*$D$37/1000-T59</f>
        <v>11.0630419209605</v>
      </c>
      <c r="U60" s="15" t="n">
        <f aca="false">U58*$D$37/1000-U59</f>
        <v>11.0630419209605</v>
      </c>
      <c r="V60" s="15" t="n">
        <f aca="false">V58*$D$37/1000-V59</f>
        <v>10.2970556622836</v>
      </c>
      <c r="W60" s="15" t="n">
        <f aca="false">W58*$D$37/1000-W59</f>
        <v>9.58410499297487</v>
      </c>
      <c r="X60" s="15" t="n">
        <f aca="false">X58*$D$37/1000-X59</f>
        <v>8.92051781877952</v>
      </c>
      <c r="Y60" s="15" t="n">
        <f aca="false">Y58*$D$37/1000-Y59</f>
        <v>8.30287629502095</v>
      </c>
      <c r="Z60" s="15" t="n">
        <f aca="false">Z58*$D$37/1000-Z59</f>
        <v>7.72799922279094</v>
      </c>
      <c r="AA60" s="15" t="n">
        <f aca="false">AA58*$D$37/1000-AA59</f>
        <v>7.19292566399806</v>
      </c>
      <c r="AB60" s="15" t="n">
        <f aca="false">AB58*$D$37/1000-AB59</f>
        <v>6.69489969088233</v>
      </c>
      <c r="AC60" s="15" t="n">
        <f aca="false">AC58*$D$37/1000-AC59</f>
        <v>6.23135619144755</v>
      </c>
      <c r="AD60" s="15" t="n">
        <f aca="false">AD58*$D$37/1000-AD59</f>
        <v>5.79990765770148</v>
      </c>
      <c r="AE60" s="15" t="n">
        <f aca="false">AE58*$D$37/1000-AE59</f>
        <v>5.39833188865584</v>
      </c>
      <c r="AF60" s="15" t="n">
        <f aca="false">AF58*$D$37/1000-AF59</f>
        <v>5.0245605447497</v>
      </c>
      <c r="AG60" s="15" t="n">
        <f aca="false">AG58*$D$37/1000-AG59</f>
        <v>4.67666849474526</v>
      </c>
      <c r="AH60" s="15" t="n">
        <f aca="false">AH58*$D$37/1000-AH59</f>
        <v>4.3528639002264</v>
      </c>
      <c r="AI60" s="15" t="n">
        <f aca="false">AI58*$D$37/1000-AI59</f>
        <v>4.05147898662983</v>
      </c>
      <c r="AJ60" s="15" t="n">
        <f aca="false">AJ58*$D$37/1000-AJ59</f>
        <v>3.77096145327432</v>
      </c>
      <c r="AK60" s="15" t="n">
        <f aca="false">AK58*$D$37/1000-AK59</f>
        <v>3.50986647814497</v>
      </c>
      <c r="AL60" s="15" t="n">
        <f aca="false">AL58*$D$37/1000-AL59</f>
        <v>3.26684927625263</v>
      </c>
      <c r="AM60" s="15" t="n">
        <f aca="false">AM58*$D$37/1000-AM59</f>
        <v>3.04065817323992</v>
      </c>
      <c r="AN60" s="15" t="n">
        <f aca="false">AN58*$D$37/1000-AN59</f>
        <v>2.83012815855902</v>
      </c>
      <c r="AO60" s="15" t="n">
        <f aca="false">AO58*$D$37/1000-AO59</f>
        <v>2.63417488501648</v>
      </c>
      <c r="AP60" s="15" t="n">
        <f aca="false">AP58*$D$37/1000-AP59</f>
        <v>2.45178908377936</v>
      </c>
      <c r="AQ60" s="15" t="n">
        <f aca="false">AQ58*$D$37/1000-AQ59</f>
        <v>2.2820313660769</v>
      </c>
      <c r="AR60" s="15" t="n">
        <f aca="false">AR58*$D$37/1000-AR59</f>
        <v>2.12402738482355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8.78409143208111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0.138352277365039</v>
      </c>
      <c r="J61" s="54" t="n">
        <f aca="false">J58*$D$34/1000</f>
        <v>0.276704554730078</v>
      </c>
      <c r="K61" s="54" t="n">
        <f aca="false">K58*$D$34/1000</f>
        <v>0.387386376622109</v>
      </c>
      <c r="L61" s="54" t="n">
        <f aca="false">L58*$D$34/1000</f>
        <v>0.387386376622109</v>
      </c>
      <c r="M61" s="54" t="n">
        <f aca="false">M58*$D$34/1000</f>
        <v>0.387386376622109</v>
      </c>
      <c r="N61" s="54" t="n">
        <f aca="false">N58*$D$34/1000</f>
        <v>0.387386376622109</v>
      </c>
      <c r="O61" s="54" t="n">
        <f aca="false">O58*$D$34/1000</f>
        <v>0.387386376622109</v>
      </c>
      <c r="P61" s="54" t="n">
        <f aca="false">P58*$D$34/1000</f>
        <v>0.381456993306464</v>
      </c>
      <c r="Q61" s="54" t="n">
        <f aca="false">Q58*$D$34/1000</f>
        <v>0.381456993306464</v>
      </c>
      <c r="R61" s="54" t="n">
        <f aca="false">R58*$D$34/1000</f>
        <v>0.381456993306464</v>
      </c>
      <c r="S61" s="54" t="n">
        <f aca="false">S58*$D$34/1000</f>
        <v>0.381456993306464</v>
      </c>
      <c r="T61" s="54" t="n">
        <f aca="false">T58*$D$34/1000</f>
        <v>0.381456993306464</v>
      </c>
      <c r="U61" s="54" t="n">
        <f aca="false">U58*$D$34/1000</f>
        <v>0.381456993306464</v>
      </c>
      <c r="V61" s="54" t="n">
        <f aca="false">V58*$D$34/1000</f>
        <v>0.355045558075857</v>
      </c>
      <c r="W61" s="54" t="n">
        <f aca="false">W58*$D$34/1000</f>
        <v>0.330462805824409</v>
      </c>
      <c r="X61" s="54" t="n">
        <f aca="false">X58*$D$34/1000</f>
        <v>0.307582121644256</v>
      </c>
      <c r="Y61" s="54" t="n">
        <f aca="false">Y58*$D$34/1000</f>
        <v>0.286285657229005</v>
      </c>
      <c r="Z61" s="54" t="n">
        <f aca="false">Z58*$D$34/1000</f>
        <v>0.266463723889115</v>
      </c>
      <c r="AA61" s="54" t="n">
        <f aca="false">AA58*$D$34/1000</f>
        <v>0.248014227593868</v>
      </c>
      <c r="AB61" s="54" t="n">
        <f aca="false">AB58*$D$34/1000</f>
        <v>0.230842143130072</v>
      </c>
      <c r="AC61" s="54" t="n">
        <f aca="false">AC58*$D$34/1000</f>
        <v>0.214859024669124</v>
      </c>
      <c r="AD61" s="54" t="n">
        <f aca="false">AD58*$D$34/1000</f>
        <v>0.199982550221582</v>
      </c>
      <c r="AE61" s="54" t="n">
        <f aca="false">AE58*$D$34/1000</f>
        <v>0.186136097632927</v>
      </c>
      <c r="AF61" s="54" t="n">
        <f aca="false">AF58*$D$34/1000</f>
        <v>0.173248349936661</v>
      </c>
      <c r="AG61" s="54" t="n">
        <f aca="false">AG58*$D$34/1000</f>
        <v>0.161252928032086</v>
      </c>
      <c r="AH61" s="54" t="n">
        <f aca="false">AH58*$D$34/1000</f>
        <v>0.150088048794852</v>
      </c>
      <c r="AI61" s="54" t="n">
        <f aca="false">AI58*$D$34/1000</f>
        <v>0.139696206859348</v>
      </c>
      <c r="AJ61" s="54" t="n">
        <f aca="false">AJ58*$D$34/1000</f>
        <v>0.130023878433945</v>
      </c>
      <c r="AK61" s="54" t="n">
        <f aca="false">AK58*$D$34/1000</f>
        <v>0.121021245623563</v>
      </c>
      <c r="AL61" s="54" t="n">
        <f aca="false">AL58*$D$34/1000</f>
        <v>0.112641939839683</v>
      </c>
      <c r="AM61" s="54" t="n">
        <f aca="false">AM58*$D$34/1000</f>
        <v>0.104842802976211</v>
      </c>
      <c r="AN61" s="54" t="n">
        <f aca="false">AN58*$D$34/1000</f>
        <v>0.0975836651211168</v>
      </c>
      <c r="AO61" s="54" t="n">
        <f aca="false">AO58*$D$34/1000</f>
        <v>0.0908271376589477</v>
      </c>
      <c r="AP61" s="54" t="n">
        <f aca="false">AP58*$D$34/1000</f>
        <v>0.0845384206985709</v>
      </c>
      <c r="AQ61" s="54" t="n">
        <f aca="false">AQ58*$D$34/1000</f>
        <v>0.0786851238342918</v>
      </c>
      <c r="AR61" s="54" t="n">
        <f aca="false">AR58*$D$34/1000</f>
        <v>0.0732370993171687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19.4578206058003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0.306466959524243</v>
      </c>
      <c r="J62" s="54" t="n">
        <f aca="false">J58*$D$35/1000</f>
        <v>0.612933919048487</v>
      </c>
      <c r="K62" s="54" t="n">
        <f aca="false">K58*$D$35/1000</f>
        <v>0.858107486667882</v>
      </c>
      <c r="L62" s="54" t="n">
        <f aca="false">L58*$D$35/1000</f>
        <v>0.858107486667882</v>
      </c>
      <c r="M62" s="54" t="n">
        <f aca="false">M58*$D$35/1000</f>
        <v>0.858107486667882</v>
      </c>
      <c r="N62" s="54" t="n">
        <f aca="false">N58*$D$35/1000</f>
        <v>0.858107486667882</v>
      </c>
      <c r="O62" s="54" t="n">
        <f aca="false">O58*$D$35/1000</f>
        <v>0.858107486667882</v>
      </c>
      <c r="P62" s="54" t="n">
        <f aca="false">P58*$D$35/1000</f>
        <v>0.844973188402557</v>
      </c>
      <c r="Q62" s="54" t="n">
        <f aca="false">Q58*$D$35/1000</f>
        <v>0.844973188402557</v>
      </c>
      <c r="R62" s="54" t="n">
        <f aca="false">R58*$D$35/1000</f>
        <v>0.844973188402557</v>
      </c>
      <c r="S62" s="54" t="n">
        <f aca="false">S58*$D$35/1000</f>
        <v>0.844973188402557</v>
      </c>
      <c r="T62" s="54" t="n">
        <f aca="false">T58*$D$35/1000</f>
        <v>0.844973188402557</v>
      </c>
      <c r="U62" s="54" t="n">
        <f aca="false">U58*$D$35/1000</f>
        <v>0.844973188402557</v>
      </c>
      <c r="V62" s="54" t="n">
        <f aca="false">V58*$D$35/1000</f>
        <v>0.786468677989338</v>
      </c>
      <c r="W62" s="54" t="n">
        <f aca="false">W58*$D$35/1000</f>
        <v>0.732014920648132</v>
      </c>
      <c r="X62" s="54" t="n">
        <f aca="false">X58*$D$35/1000</f>
        <v>0.681331449106681</v>
      </c>
      <c r="Y62" s="54" t="n">
        <f aca="false">Y58*$D$35/1000</f>
        <v>0.634157215170958</v>
      </c>
      <c r="Z62" s="54" t="n">
        <f aca="false">Z58*$D$35/1000</f>
        <v>0.590249245181132</v>
      </c>
      <c r="AA62" s="54" t="n">
        <f aca="false">AA58*$D$35/1000</f>
        <v>0.54938138856147</v>
      </c>
      <c r="AB62" s="54" t="n">
        <f aca="false">AB58*$D$35/1000</f>
        <v>0.511343153018533</v>
      </c>
      <c r="AC62" s="54" t="n">
        <f aca="false">AC58*$D$35/1000</f>
        <v>0.475938620388263</v>
      </c>
      <c r="AD62" s="54" t="n">
        <f aca="false">AD58*$D$35/1000</f>
        <v>0.44298543754799</v>
      </c>
      <c r="AE62" s="54" t="n">
        <f aca="false">AE58*$D$35/1000</f>
        <v>0.412313877195966</v>
      </c>
      <c r="AF62" s="54" t="n">
        <f aca="false">AF58*$D$35/1000</f>
        <v>0.383765963660946</v>
      </c>
      <c r="AG62" s="54" t="n">
        <f aca="false">AG58*$D$35/1000</f>
        <v>0.35719465923922</v>
      </c>
      <c r="AH62" s="54" t="n">
        <f aca="false">AH58*$D$35/1000</f>
        <v>0.332463106868293</v>
      </c>
      <c r="AI62" s="54" t="n">
        <f aca="false">AI58*$D$35/1000</f>
        <v>0.309443925236555</v>
      </c>
      <c r="AJ62" s="54" t="n">
        <f aca="false">AJ58*$D$35/1000</f>
        <v>0.288018552698362</v>
      </c>
      <c r="AK62" s="54" t="n">
        <f aca="false">AK58*$D$35/1000</f>
        <v>0.268076636615323</v>
      </c>
      <c r="AL62" s="54" t="n">
        <f aca="false">AL58*$D$35/1000</f>
        <v>0.249515464978561</v>
      </c>
      <c r="AM62" s="54" t="n">
        <f aca="false">AM58*$D$35/1000</f>
        <v>0.232239437384485</v>
      </c>
      <c r="AN62" s="54" t="n">
        <f aca="false">AN58*$D$35/1000</f>
        <v>0.2161595726393</v>
      </c>
      <c r="AO62" s="54" t="n">
        <f aca="false">AO58*$D$35/1000</f>
        <v>0.201193050456151</v>
      </c>
      <c r="AP62" s="54" t="n">
        <f aca="false">AP58*$D$35/1000</f>
        <v>0.187262784884373</v>
      </c>
      <c r="AQ62" s="54" t="n">
        <f aca="false">AQ58*$D$35/1000</f>
        <v>0.174297027273782</v>
      </c>
      <c r="AR62" s="54" t="n">
        <f aca="false">AR58*$D$35/1000</f>
        <v>0.162228996729037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0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</v>
      </c>
      <c r="L64" s="54" t="n">
        <f aca="false">IF(L59&gt;0,Исходные!$C$39/1000,0)</f>
        <v>0</v>
      </c>
      <c r="M64" s="54" t="n">
        <f aca="false">IF(M59&gt;0,Исходные!$C$39/1000,0)</f>
        <v>0</v>
      </c>
      <c r="N64" s="54" t="n">
        <f aca="false">IF(N59&gt;0,Исходные!$C$39/1000,0)</f>
        <v>0</v>
      </c>
      <c r="O64" s="54" t="n">
        <f aca="false">IF(O59&gt;0,Исходные!$C$39/1000,0)</f>
        <v>0</v>
      </c>
      <c r="P64" s="54" t="n">
        <f aca="false">IF(P59&gt;0,Исходные!$C$39/1000,0)</f>
        <v>0</v>
      </c>
      <c r="Q64" s="54" t="n">
        <f aca="false">IF(Q59&gt;0,Исходные!$C$39/1000,0)</f>
        <v>0</v>
      </c>
      <c r="R64" s="54" t="n">
        <f aca="false">IF(R59&gt;0,Исходные!$C$39/1000,0)</f>
        <v>0</v>
      </c>
      <c r="S64" s="54" t="n">
        <f aca="false">IF(S59&gt;0,Исходные!$C$39/1000,0)</f>
        <v>0</v>
      </c>
      <c r="T64" s="54" t="n">
        <f aca="false">IF(T59&gt;0,Исходные!$C$39/1000,0)</f>
        <v>0</v>
      </c>
      <c r="U64" s="54" t="n">
        <f aca="false">IF(U59&gt;0,Исходные!$C$39/1000,0)</f>
        <v>0</v>
      </c>
      <c r="V64" s="54" t="n">
        <f aca="false">IF(V59&gt;0,Исходные!$C$39/1000,0)</f>
        <v>0</v>
      </c>
      <c r="W64" s="54" t="n">
        <f aca="false">IF(W59&gt;0,Исходные!$C$39/1000,0)</f>
        <v>0</v>
      </c>
      <c r="X64" s="54" t="n">
        <f aca="false">IF(X59&gt;0,Исходные!$C$39/1000,0)</f>
        <v>0</v>
      </c>
      <c r="Y64" s="54" t="n">
        <f aca="false">IF(Y59&gt;0,Исходные!$C$39/1000,0)</f>
        <v>0</v>
      </c>
      <c r="Z64" s="54" t="n">
        <f aca="false">IF(Z59&gt;0,Исходные!$C$39/1000,0)</f>
        <v>0</v>
      </c>
      <c r="AA64" s="54" t="n">
        <f aca="false">IF(AA59&gt;0,Исходные!$C$39/1000,0)</f>
        <v>0</v>
      </c>
      <c r="AB64" s="54" t="n">
        <f aca="false">IF(AB59&gt;0,Исходные!$C$39/1000,0)</f>
        <v>0</v>
      </c>
      <c r="AC64" s="54" t="n">
        <f aca="false">IF(AC59&gt;0,Исходные!$C$39/1000,0)</f>
        <v>0</v>
      </c>
      <c r="AD64" s="54" t="n">
        <f aca="false">IF(AD59&gt;0,Исходные!$C$39/1000,0)</f>
        <v>0</v>
      </c>
      <c r="AE64" s="54" t="n">
        <f aca="false">IF(AE59&gt;0,Исходные!$C$39/1000,0)</f>
        <v>0</v>
      </c>
      <c r="AF64" s="54" t="n">
        <f aca="false">IF(AF59&gt;0,Исходные!$C$39/1000,0)</f>
        <v>0</v>
      </c>
      <c r="AG64" s="54" t="n">
        <f aca="false">IF(AG59&gt;0,Исходные!$C$39/1000,0)</f>
        <v>0</v>
      </c>
      <c r="AH64" s="54" t="n">
        <f aca="false">IF(AH59&gt;0,Исходные!$C$39/1000,0)</f>
        <v>0</v>
      </c>
      <c r="AI64" s="54" t="n">
        <f aca="false">IF(AI59&gt;0,Исходные!$C$39/1000,0)</f>
        <v>0</v>
      </c>
      <c r="AJ64" s="54" t="n">
        <f aca="false">IF(AJ59&gt;0,Исходные!$C$39/1000,0)</f>
        <v>0</v>
      </c>
      <c r="AK64" s="54" t="n">
        <f aca="false">IF(AK59&gt;0,Исходные!$C$39/1000,0)</f>
        <v>0</v>
      </c>
      <c r="AL64" s="54" t="n">
        <f aca="false">IF(AL59&gt;0,Исходные!$C$39/1000,0)</f>
        <v>0</v>
      </c>
      <c r="AM64" s="54" t="n">
        <f aca="false">IF(AM59&gt;0,Исходные!$C$39/1000,0)</f>
        <v>0</v>
      </c>
      <c r="AN64" s="54" t="n">
        <f aca="false">IF(AN59&gt;0,Исходные!$C$39/1000,0)</f>
        <v>0</v>
      </c>
      <c r="AO64" s="54" t="n">
        <f aca="false">IF(AO59&gt;0,Исходные!$C$39/1000,0)</f>
        <v>0</v>
      </c>
      <c r="AP64" s="54" t="n">
        <f aca="false">IF(AP59&gt;0,Исходные!$C$39/1000,0)</f>
        <v>0</v>
      </c>
      <c r="AQ64" s="54" t="n">
        <f aca="false">IF(AQ59&gt;0,Исходные!$C$39/1000,0)</f>
        <v>0</v>
      </c>
      <c r="AR64" s="54" t="n">
        <f aca="false">IF(AR59&gt;0,Исходные!$C$39/1000,0)</f>
        <v>0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0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</v>
      </c>
      <c r="L65" s="54" t="n">
        <f aca="false">IF(L59&gt;0,Исходные!$C$40/1000,0)</f>
        <v>0</v>
      </c>
      <c r="M65" s="54" t="n">
        <f aca="false">IF(M59&gt;0,Исходные!$C$40/1000,0)</f>
        <v>0</v>
      </c>
      <c r="N65" s="54" t="n">
        <f aca="false">IF(N59&gt;0,Исходные!$C$40/1000,0)</f>
        <v>0</v>
      </c>
      <c r="O65" s="54" t="n">
        <f aca="false">IF(O59&gt;0,Исходные!$C$40/1000,0)</f>
        <v>0</v>
      </c>
      <c r="P65" s="54" t="n">
        <f aca="false">IF(P59&gt;0,Исходные!$C$40/1000,0)</f>
        <v>0</v>
      </c>
      <c r="Q65" s="54" t="n">
        <f aca="false">IF(Q59&gt;0,Исходные!$C$40/1000,0)</f>
        <v>0</v>
      </c>
      <c r="R65" s="54" t="n">
        <f aca="false">IF(R59&gt;0,Исходные!$C$40/1000,0)</f>
        <v>0</v>
      </c>
      <c r="S65" s="54" t="n">
        <f aca="false">IF(S59&gt;0,Исходные!$C$40/1000,0)</f>
        <v>0</v>
      </c>
      <c r="T65" s="54" t="n">
        <f aca="false">IF(T59&gt;0,Исходные!$C$40/1000,0)</f>
        <v>0</v>
      </c>
      <c r="U65" s="54" t="n">
        <f aca="false">IF(U59&gt;0,Исходные!$C$40/1000,0)</f>
        <v>0</v>
      </c>
      <c r="V65" s="54" t="n">
        <f aca="false">IF(V59&gt;0,Исходные!$C$40/1000,0)</f>
        <v>0</v>
      </c>
      <c r="W65" s="54" t="n">
        <f aca="false">IF(W59&gt;0,Исходные!$C$40/1000,0)</f>
        <v>0</v>
      </c>
      <c r="X65" s="54" t="n">
        <f aca="false">IF(X59&gt;0,Исходные!$C$40/1000,0)</f>
        <v>0</v>
      </c>
      <c r="Y65" s="54" t="n">
        <f aca="false">IF(Y59&gt;0,Исходные!$C$40/1000,0)</f>
        <v>0</v>
      </c>
      <c r="Z65" s="54" t="n">
        <f aca="false">IF(Z59&gt;0,Исходные!$C$40/1000,0)</f>
        <v>0</v>
      </c>
      <c r="AA65" s="54" t="n">
        <f aca="false">IF(AA59&gt;0,Исходные!$C$40/1000,0)</f>
        <v>0</v>
      </c>
      <c r="AB65" s="54" t="n">
        <f aca="false">IF(AB59&gt;0,Исходные!$C$40/1000,0)</f>
        <v>0</v>
      </c>
      <c r="AC65" s="54" t="n">
        <f aca="false">IF(AC59&gt;0,Исходные!$C$40/1000,0)</f>
        <v>0</v>
      </c>
      <c r="AD65" s="54" t="n">
        <f aca="false">IF(AD59&gt;0,Исходные!$C$40/1000,0)</f>
        <v>0</v>
      </c>
      <c r="AE65" s="54" t="n">
        <f aca="false">IF(AE59&gt;0,Исходные!$C$40/1000,0)</f>
        <v>0</v>
      </c>
      <c r="AF65" s="54" t="n">
        <f aca="false">IF(AF59&gt;0,Исходные!$C$40/1000,0)</f>
        <v>0</v>
      </c>
      <c r="AG65" s="54" t="n">
        <f aca="false">IF(AG59&gt;0,Исходные!$C$40/1000,0)</f>
        <v>0</v>
      </c>
      <c r="AH65" s="54" t="n">
        <f aca="false">IF(AH59&gt;0,Исходные!$C$40/1000,0)</f>
        <v>0</v>
      </c>
      <c r="AI65" s="54" t="n">
        <f aca="false">IF(AI59&gt;0,Исходные!$C$40/1000,0)</f>
        <v>0</v>
      </c>
      <c r="AJ65" s="54" t="n">
        <f aca="false">IF(AJ59&gt;0,Исходные!$C$40/1000,0)</f>
        <v>0</v>
      </c>
      <c r="AK65" s="54" t="n">
        <f aca="false">IF(AK59&gt;0,Исходные!$C$40/1000,0)</f>
        <v>0</v>
      </c>
      <c r="AL65" s="54" t="n">
        <f aca="false">IF(AL59&gt;0,Исходные!$C$40/1000,0)</f>
        <v>0</v>
      </c>
      <c r="AM65" s="54" t="n">
        <f aca="false">IF(AM59&gt;0,Исходные!$C$40/1000,0)</f>
        <v>0</v>
      </c>
      <c r="AN65" s="54" t="n">
        <f aca="false">IF(AN59&gt;0,Исходные!$C$40/1000,0)</f>
        <v>0</v>
      </c>
      <c r="AO65" s="54" t="n">
        <f aca="false">IF(AO59&gt;0,Исходные!$C$40/1000,0)</f>
        <v>0</v>
      </c>
      <c r="AP65" s="54" t="n">
        <f aca="false">IF(AP59&gt;0,Исходные!$C$40/1000,0)</f>
        <v>0</v>
      </c>
      <c r="AQ65" s="54" t="n">
        <f aca="false">IF(AQ59&gt;0,Исходные!$C$40/1000,0)</f>
        <v>0</v>
      </c>
      <c r="AR65" s="54" t="n">
        <f aca="false">IF(AR59&gt;0,Исходные!$C$40/1000,0)</f>
        <v>0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</v>
      </c>
      <c r="L66" s="54" t="n">
        <f aca="false">IF(L59&gt;0,$D$43-L64-L65,0)</f>
        <v>0</v>
      </c>
      <c r="M66" s="54" t="n">
        <f aca="false">IF(M59&gt;0,$D$43-M64-M65,0)</f>
        <v>0</v>
      </c>
      <c r="N66" s="54" t="n">
        <f aca="false">IF(N59&gt;0,$D$43-N64-N65,0)</f>
        <v>0</v>
      </c>
      <c r="O66" s="54" t="n">
        <f aca="false">IF(O59&gt;0,$D$43-O64-O65,0)</f>
        <v>0</v>
      </c>
      <c r="P66" s="54" t="n">
        <f aca="false">IF(P59&gt;0,$D$43-P64-P65,0)</f>
        <v>0</v>
      </c>
      <c r="Q66" s="54" t="n">
        <f aca="false">IF(Q59&gt;0,$D$43-Q64-Q65,0)</f>
        <v>0</v>
      </c>
      <c r="R66" s="54" t="n">
        <f aca="false">IF(R59&gt;0,$D$43-R64-R65,0)</f>
        <v>0</v>
      </c>
      <c r="S66" s="54" t="n">
        <f aca="false">IF(S59&gt;0,$D$43-S64-S65,0)</f>
        <v>0</v>
      </c>
      <c r="T66" s="54" t="n">
        <f aca="false">IF(T59&gt;0,$D$43-T64-T65,0)</f>
        <v>0</v>
      </c>
      <c r="U66" s="54" t="n">
        <f aca="false">IF(U59&gt;0,$D$43-U64-U65,0)</f>
        <v>0</v>
      </c>
      <c r="V66" s="54" t="n">
        <f aca="false">IF(V59&gt;0,$D$43-V64-V65,0)</f>
        <v>0</v>
      </c>
      <c r="W66" s="54" t="n">
        <f aca="false">IF(W59&gt;0,$D$43-W64-W65,0)</f>
        <v>0</v>
      </c>
      <c r="X66" s="54" t="n">
        <f aca="false">IF(X59&gt;0,$D$43-X64-X65,0)</f>
        <v>0</v>
      </c>
      <c r="Y66" s="54" t="n">
        <f aca="false">IF(Y59&gt;0,$D$43-Y64-Y65,0)</f>
        <v>0</v>
      </c>
      <c r="Z66" s="54" t="n">
        <f aca="false">IF(Z59&gt;0,$D$43-Z64-Z65,0)</f>
        <v>0</v>
      </c>
      <c r="AA66" s="54" t="n">
        <f aca="false">IF(AA59&gt;0,$D$43-AA64-AA65,0)</f>
        <v>0</v>
      </c>
      <c r="AB66" s="54" t="n">
        <f aca="false">IF(AB59&gt;0,$D$43-AB64-AB65,0)</f>
        <v>0</v>
      </c>
      <c r="AC66" s="54" t="n">
        <f aca="false">IF(AC59&gt;0,$D$43-AC64-AC65,0)</f>
        <v>0</v>
      </c>
      <c r="AD66" s="54" t="n">
        <f aca="false">IF(AD59&gt;0,$D$43-AD64-AD65,0)</f>
        <v>0</v>
      </c>
      <c r="AE66" s="54" t="n">
        <f aca="false">IF(AE59&gt;0,$D$43-AE64-AE65,0)</f>
        <v>0</v>
      </c>
      <c r="AF66" s="54" t="n">
        <f aca="false">IF(AF59&gt;0,$D$43-AF64-AF65,0)</f>
        <v>0</v>
      </c>
      <c r="AG66" s="54" t="n">
        <f aca="false">IF(AG59&gt;0,$D$43-AG64-AG65,0)</f>
        <v>0</v>
      </c>
      <c r="AH66" s="54" t="n">
        <f aca="false">IF(AH59&gt;0,$D$43-AH64-AH65,0)</f>
        <v>0</v>
      </c>
      <c r="AI66" s="54" t="n">
        <f aca="false">IF(AI59&gt;0,$D$43-AI64-AI65,0)</f>
        <v>0</v>
      </c>
      <c r="AJ66" s="54" t="n">
        <f aca="false">IF(AJ59&gt;0,$D$43-AJ64-AJ65,0)</f>
        <v>0</v>
      </c>
      <c r="AK66" s="54" t="n">
        <f aca="false">IF(AK59&gt;0,$D$43-AK64-AK65,0)</f>
        <v>0</v>
      </c>
      <c r="AL66" s="54" t="n">
        <f aca="false">IF(AL59&gt;0,$D$43-AL64-AL65,0)</f>
        <v>0</v>
      </c>
      <c r="AM66" s="54" t="n">
        <f aca="false">IF(AM59&gt;0,$D$43-AM64-AM65,0)</f>
        <v>0</v>
      </c>
      <c r="AN66" s="54" t="n">
        <f aca="false">IF(AN59&gt;0,$D$43-AN64-AN65,0)</f>
        <v>0</v>
      </c>
      <c r="AO66" s="54" t="n">
        <f aca="false">IF(AO59&gt;0,$D$43-AO64-AO65,0)</f>
        <v>0</v>
      </c>
      <c r="AP66" s="54" t="n">
        <f aca="false">IF(AP59&gt;0,$D$43-AP64-AP65,0)</f>
        <v>0</v>
      </c>
      <c r="AQ66" s="54" t="n">
        <f aca="false">IF(AQ59&gt;0,$D$43-AQ64-AQ65,0)</f>
        <v>0</v>
      </c>
      <c r="AR66" s="54" t="n">
        <f aca="false">IF(AR59&gt;0,$D$43-AR64-AR65,0)</f>
        <v>0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1257.76050220786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19.8101341733216</v>
      </c>
      <c r="J68" s="15" t="n">
        <f aca="false">J60*$D$39/1000</f>
        <v>39.6202683466433</v>
      </c>
      <c r="K68" s="15" t="n">
        <f aca="false">K60*$D$39/1000</f>
        <v>55.4683756853006</v>
      </c>
      <c r="L68" s="15" t="n">
        <f aca="false">L60*$D$39/1000</f>
        <v>55.4683756853006</v>
      </c>
      <c r="M68" s="15" t="n">
        <f aca="false">M60*$D$39/1000</f>
        <v>55.4683756853006</v>
      </c>
      <c r="N68" s="15" t="n">
        <f aca="false">N60*$D$39/1000</f>
        <v>55.4683756853006</v>
      </c>
      <c r="O68" s="15" t="n">
        <f aca="false">O60*$D$39/1000</f>
        <v>55.4683756853006</v>
      </c>
      <c r="P68" s="15" t="n">
        <f aca="false">P60*$D$39/1000</f>
        <v>54.6193699350154</v>
      </c>
      <c r="Q68" s="15" t="n">
        <f aca="false">Q60*$D$39/1000</f>
        <v>54.6193699350154</v>
      </c>
      <c r="R68" s="15" t="n">
        <f aca="false">R60*$D$39/1000</f>
        <v>54.6193699350154</v>
      </c>
      <c r="S68" s="15" t="n">
        <f aca="false">S60*$D$39/1000</f>
        <v>54.6193699350154</v>
      </c>
      <c r="T68" s="15" t="n">
        <f aca="false">T60*$D$39/1000</f>
        <v>54.6193699350154</v>
      </c>
      <c r="U68" s="15" t="n">
        <f aca="false">U60*$D$39/1000</f>
        <v>54.6193699350154</v>
      </c>
      <c r="V68" s="15" t="n">
        <f aca="false">V60*$D$39/1000</f>
        <v>50.8376174001595</v>
      </c>
      <c r="W68" s="15" t="n">
        <f aca="false">W60*$D$39/1000</f>
        <v>47.3177069966191</v>
      </c>
      <c r="X68" s="15" t="n">
        <f aca="false">X60*$D$39/1000</f>
        <v>44.04150921933</v>
      </c>
      <c r="Y68" s="15" t="n">
        <f aca="false">Y60*$D$39/1000</f>
        <v>40.9921498194094</v>
      </c>
      <c r="Z68" s="15" t="n">
        <f aca="false">Z60*$D$39/1000</f>
        <v>38.1539228923471</v>
      </c>
      <c r="AA68" s="15" t="n">
        <f aca="false">AA60*$D$39/1000</f>
        <v>35.5122099838222</v>
      </c>
      <c r="AB68" s="15" t="n">
        <f aca="false">AB60*$D$39/1000</f>
        <v>33.0534047964969</v>
      </c>
      <c r="AC68" s="15" t="n">
        <f aca="false">AC60*$D$39/1000</f>
        <v>30.7648431099837</v>
      </c>
      <c r="AD68" s="15" t="n">
        <f aca="false">AD60*$D$39/1000</f>
        <v>28.6347375530348</v>
      </c>
      <c r="AE68" s="15" t="n">
        <f aca="false">AE60*$D$39/1000</f>
        <v>26.6521168919954</v>
      </c>
      <c r="AF68" s="15" t="n">
        <f aca="false">AF60*$D$39/1000</f>
        <v>24.8067695228203</v>
      </c>
      <c r="AG68" s="15" t="n">
        <f aca="false">AG60*$D$39/1000</f>
        <v>23.0891908756092</v>
      </c>
      <c r="AH68" s="15" t="n">
        <f aca="false">AH60*$D$39/1000</f>
        <v>21.4905344607605</v>
      </c>
      <c r="AI68" s="15" t="n">
        <f aca="false">AI60*$D$39/1000</f>
        <v>20.0025663046085</v>
      </c>
      <c r="AJ68" s="15" t="n">
        <f aca="false">AJ60*$D$39/1000</f>
        <v>18.6176225398585</v>
      </c>
      <c r="AK68" s="15" t="n">
        <f aca="false">AK60*$D$39/1000</f>
        <v>17.3285699323885</v>
      </c>
      <c r="AL68" s="15" t="n">
        <f aca="false">AL60*$D$39/1000</f>
        <v>16.1287691411087</v>
      </c>
      <c r="AM68" s="15" t="n">
        <f aca="false">AM60*$D$39/1000</f>
        <v>15.0120405216453</v>
      </c>
      <c r="AN68" s="15" t="n">
        <f aca="false">AN60*$D$39/1000</f>
        <v>13.9726322977197</v>
      </c>
      <c r="AO68" s="15" t="n">
        <f aca="false">AO60*$D$39/1000</f>
        <v>13.0051909362873</v>
      </c>
      <c r="AP68" s="15" t="n">
        <f aca="false">AP60*$D$39/1000</f>
        <v>12.1047335738515</v>
      </c>
      <c r="AQ68" s="15" t="n">
        <f aca="false">AQ60*$D$39/1000</f>
        <v>11.2666223519328</v>
      </c>
      <c r="AR68" s="15" t="n">
        <f aca="false">AR60*$D$39/1000</f>
        <v>10.4865405295064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328.314201365463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5.17105471879569</v>
      </c>
      <c r="J69" s="15" t="n">
        <f aca="false">(J61+J66)*$D$40/1000</f>
        <v>10.3421094375914</v>
      </c>
      <c r="K69" s="15" t="n">
        <f aca="false">(K61+K66)*$D$40/1000</f>
        <v>14.4789532126279</v>
      </c>
      <c r="L69" s="15" t="n">
        <f aca="false">(L61+L66)*$D$40/1000</f>
        <v>14.4789532126279</v>
      </c>
      <c r="M69" s="15" t="n">
        <f aca="false">(M61+M66)*$D$40/1000</f>
        <v>14.4789532126279</v>
      </c>
      <c r="N69" s="15" t="n">
        <f aca="false">(N61+N66)*$D$40/1000</f>
        <v>14.4789532126279</v>
      </c>
      <c r="O69" s="15" t="n">
        <f aca="false">(O61+O66)*$D$40/1000</f>
        <v>14.4789532126279</v>
      </c>
      <c r="P69" s="15" t="n">
        <f aca="false">(P61+P66)*$D$40/1000</f>
        <v>14.2573365818224</v>
      </c>
      <c r="Q69" s="15" t="n">
        <f aca="false">(Q61+Q66)*$D$40/1000</f>
        <v>14.2573365818224</v>
      </c>
      <c r="R69" s="15" t="n">
        <f aca="false">(R61+R66)*$D$40/1000</f>
        <v>14.2573365818224</v>
      </c>
      <c r="S69" s="15" t="n">
        <f aca="false">(S61+S66)*$D$40/1000</f>
        <v>14.2573365818224</v>
      </c>
      <c r="T69" s="15" t="n">
        <f aca="false">(T61+T66)*$D$40/1000</f>
        <v>14.2573365818224</v>
      </c>
      <c r="U69" s="15" t="n">
        <f aca="false">(U61+U66)*$D$40/1000</f>
        <v>14.2573365818224</v>
      </c>
      <c r="V69" s="15" t="n">
        <f aca="false">(V61+V66)*$D$40/1000</f>
        <v>13.2701827786432</v>
      </c>
      <c r="W69" s="15" t="n">
        <f aca="false">(W61+W66)*$D$40/1000</f>
        <v>12.3513778304931</v>
      </c>
      <c r="X69" s="15" t="n">
        <f aca="false">(X61+X66)*$D$40/1000</f>
        <v>11.4961893785757</v>
      </c>
      <c r="Y69" s="15" t="n">
        <f aca="false">(Y61+Y66)*$D$40/1000</f>
        <v>10.7002127245913</v>
      </c>
      <c r="Z69" s="15" t="n">
        <f aca="false">(Z61+Z66)*$D$40/1000</f>
        <v>9.95934814407958</v>
      </c>
      <c r="AA69" s="15" t="n">
        <f aca="false">(AA61+AA66)*$D$40/1000</f>
        <v>9.26977977054843</v>
      </c>
      <c r="AB69" s="15" t="n">
        <f aca="false">(AB61+AB66)*$D$40/1000</f>
        <v>8.62795594162958</v>
      </c>
      <c r="AC69" s="15" t="n">
        <f aca="false">(AC61+AC66)*$D$40/1000</f>
        <v>8.03057090603318</v>
      </c>
      <c r="AD69" s="15" t="n">
        <f aca="false">(AD61+AD66)*$D$40/1000</f>
        <v>7.47454779708184</v>
      </c>
      <c r="AE69" s="15" t="n">
        <f aca="false">(AE61+AE66)*$D$40/1000</f>
        <v>6.95702278512828</v>
      </c>
      <c r="AF69" s="15" t="n">
        <f aca="false">(AF61+AF66)*$D$40/1000</f>
        <v>6.47533032723264</v>
      </c>
      <c r="AG69" s="15" t="n">
        <f aca="false">(AG61+AG66)*$D$40/1000</f>
        <v>6.02698943812725</v>
      </c>
      <c r="AH69" s="15" t="n">
        <f aca="false">(AH61+AH66)*$D$40/1000</f>
        <v>5.60969091175639</v>
      </c>
      <c r="AI69" s="15" t="n">
        <f aca="false">(AI61+AI66)*$D$40/1000</f>
        <v>5.22128542757499</v>
      </c>
      <c r="AJ69" s="15" t="n">
        <f aca="false">(AJ61+AJ66)*$D$40/1000</f>
        <v>4.85977248034711</v>
      </c>
      <c r="AK69" s="15" t="n">
        <f aca="false">(AK61+AK66)*$D$40/1000</f>
        <v>4.52329007642628</v>
      </c>
      <c r="AL69" s="15" t="n">
        <f aca="false">(AL61+AL66)*$D$40/1000</f>
        <v>4.210105143448</v>
      </c>
      <c r="AM69" s="15" t="n">
        <f aca="false">(AM61+AM66)*$D$40/1000</f>
        <v>3.91860460403887</v>
      </c>
      <c r="AN69" s="15" t="n">
        <f aca="false">(AN61+AN66)*$D$40/1000</f>
        <v>3.64728706756686</v>
      </c>
      <c r="AO69" s="15" t="n">
        <f aca="false">(AO61+AO66)*$D$40/1000</f>
        <v>3.39475509714083</v>
      </c>
      <c r="AP69" s="15" t="n">
        <f aca="false">(AP61+AP66)*$D$40/1000</f>
        <v>3.15970801202979</v>
      </c>
      <c r="AQ69" s="15" t="n">
        <f aca="false">(AQ61+AQ66)*$D$40/1000</f>
        <v>2.94093518843049</v>
      </c>
      <c r="AR69" s="15" t="n">
        <f aca="false">(AR61+AR66)*$D$40/1000</f>
        <v>2.7373098240785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389.156412116007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6.12933919048487</v>
      </c>
      <c r="J70" s="15" t="n">
        <f aca="false">J62*Исходные!$C$19/1000+J63*Исходные!$C$20/1000</f>
        <v>12.2586783809697</v>
      </c>
      <c r="K70" s="15" t="n">
        <f aca="false">K62*Исходные!$C$19/1000+K63*Исходные!$C$20/1000</f>
        <v>17.1621497333576</v>
      </c>
      <c r="L70" s="15" t="n">
        <f aca="false">L62*Исходные!$C$19/1000+L63*Исходные!$C$20/1000</f>
        <v>17.1621497333576</v>
      </c>
      <c r="M70" s="15" t="n">
        <f aca="false">M62*Исходные!$C$19/1000+M63*Исходные!$C$20/1000</f>
        <v>17.1621497333576</v>
      </c>
      <c r="N70" s="15" t="n">
        <f aca="false">N62*Исходные!$C$19/1000+N63*Исходные!$C$20/1000</f>
        <v>17.1621497333576</v>
      </c>
      <c r="O70" s="15" t="n">
        <f aca="false">O62*Исходные!$C$19/1000+O63*Исходные!$C$20/1000</f>
        <v>17.1621497333576</v>
      </c>
      <c r="P70" s="15" t="n">
        <f aca="false">P62*Исходные!$C$19/1000+P63*Исходные!$C$20/1000</f>
        <v>16.8994637680511</v>
      </c>
      <c r="Q70" s="15" t="n">
        <f aca="false">Q62*Исходные!$C$19/1000+Q63*Исходные!$C$20/1000</f>
        <v>16.8994637680511</v>
      </c>
      <c r="R70" s="15" t="n">
        <f aca="false">R62*Исходные!$C$19/1000+R63*Исходные!$C$20/1000</f>
        <v>16.8994637680511</v>
      </c>
      <c r="S70" s="15" t="n">
        <f aca="false">S62*Исходные!$C$19/1000+S63*Исходные!$C$20/1000</f>
        <v>16.8994637680511</v>
      </c>
      <c r="T70" s="15" t="n">
        <f aca="false">T62*Исходные!$C$19/1000+T63*Исходные!$C$20/1000</f>
        <v>16.8994637680511</v>
      </c>
      <c r="U70" s="15" t="n">
        <f aca="false">U62*Исходные!$C$19/1000+U63*Исходные!$C$20/1000</f>
        <v>16.8994637680511</v>
      </c>
      <c r="V70" s="15" t="n">
        <f aca="false">V62*Исходные!$C$19/1000+V63*Исходные!$C$20/1000</f>
        <v>15.7293735597868</v>
      </c>
      <c r="W70" s="15" t="n">
        <f aca="false">W62*Исходные!$C$19/1000+W63*Исходные!$C$20/1000</f>
        <v>14.6402984129626</v>
      </c>
      <c r="X70" s="15" t="n">
        <f aca="false">X62*Исходные!$C$19/1000+X63*Исходные!$C$20/1000</f>
        <v>13.6266289821336</v>
      </c>
      <c r="Y70" s="15" t="n">
        <f aca="false">Y62*Исходные!$C$19/1000+Y63*Исходные!$C$20/1000</f>
        <v>12.6831443034192</v>
      </c>
      <c r="Z70" s="15" t="n">
        <f aca="false">Z62*Исходные!$C$19/1000+Z63*Исходные!$C$20/1000</f>
        <v>11.8049849036226</v>
      </c>
      <c r="AA70" s="15" t="n">
        <f aca="false">AA62*Исходные!$C$19/1000+AA63*Исходные!$C$20/1000</f>
        <v>10.9876277712294</v>
      </c>
      <c r="AB70" s="15" t="n">
        <f aca="false">AB62*Исходные!$C$19/1000+AB63*Исходные!$C$20/1000</f>
        <v>10.2268630603707</v>
      </c>
      <c r="AC70" s="15" t="n">
        <f aca="false">AC62*Исходные!$C$19/1000+AC63*Исходные!$C$20/1000</f>
        <v>9.51877240776526</v>
      </c>
      <c r="AD70" s="15" t="n">
        <f aca="false">AD62*Исходные!$C$19/1000+AD63*Исходные!$C$20/1000</f>
        <v>8.85970875095979</v>
      </c>
      <c r="AE70" s="15" t="n">
        <f aca="false">AE62*Исходные!$C$19/1000+AE63*Исходные!$C$20/1000</f>
        <v>8.24627754391932</v>
      </c>
      <c r="AF70" s="15" t="n">
        <f aca="false">AF62*Исходные!$C$19/1000+AF63*Исходные!$C$20/1000</f>
        <v>7.67531927321893</v>
      </c>
      <c r="AG70" s="15" t="n">
        <f aca="false">AG62*Исходные!$C$19/1000+AG63*Исходные!$C$20/1000</f>
        <v>7.1438931847844</v>
      </c>
      <c r="AH70" s="15" t="n">
        <f aca="false">AH62*Исходные!$C$19/1000+AH63*Исходные!$C$20/1000</f>
        <v>6.64926213736586</v>
      </c>
      <c r="AI70" s="15" t="n">
        <f aca="false">AI62*Исходные!$C$19/1000+AI63*Исходные!$C$20/1000</f>
        <v>6.1888785047311</v>
      </c>
      <c r="AJ70" s="15" t="n">
        <f aca="false">AJ62*Исходные!$C$19/1000+AJ63*Исходные!$C$20/1000</f>
        <v>5.76037105396724</v>
      </c>
      <c r="AK70" s="15" t="n">
        <f aca="false">AK62*Исходные!$C$19/1000+AK63*Исходные!$C$20/1000</f>
        <v>5.36153273230646</v>
      </c>
      <c r="AL70" s="15" t="n">
        <f aca="false">AL62*Исходные!$C$19/1000+AL63*Исходные!$C$20/1000</f>
        <v>4.99030929957122</v>
      </c>
      <c r="AM70" s="15" t="n">
        <f aca="false">AM62*Исходные!$C$19/1000+AM63*Исходные!$C$20/1000</f>
        <v>4.64478874768969</v>
      </c>
      <c r="AN70" s="15" t="n">
        <f aca="false">AN62*Исходные!$C$19/1000+AN63*Исходные!$C$20/1000</f>
        <v>4.32319145278599</v>
      </c>
      <c r="AO70" s="15" t="n">
        <f aca="false">AO62*Исходные!$C$19/1000+AO63*Исходные!$C$20/1000</f>
        <v>4.02386100912302</v>
      </c>
      <c r="AP70" s="15" t="n">
        <f aca="false">AP62*Исходные!$C$19/1000+AP63*Исходные!$C$20/1000</f>
        <v>3.74525569768747</v>
      </c>
      <c r="AQ70" s="15" t="n">
        <f aca="false">AQ62*Исходные!$C$19/1000+AQ63*Исходные!$C$20/1000</f>
        <v>3.48594054547563</v>
      </c>
      <c r="AR70" s="15" t="n">
        <f aca="false">AR62*Исходные!$C$19/1000+AR63*Исходные!$C$20/1000</f>
        <v>3.24457993458075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0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0</v>
      </c>
      <c r="L71" s="15" t="n">
        <f aca="false">L64*$D$23/1000</f>
        <v>0</v>
      </c>
      <c r="M71" s="15" t="n">
        <f aca="false">M64*$D$23/1000</f>
        <v>0</v>
      </c>
      <c r="N71" s="15" t="n">
        <f aca="false">N64*$D$23/1000</f>
        <v>0</v>
      </c>
      <c r="O71" s="15" t="n">
        <f aca="false">O64*$D$23/1000</f>
        <v>0</v>
      </c>
      <c r="P71" s="15" t="n">
        <f aca="false">P64*$D$23/1000</f>
        <v>0</v>
      </c>
      <c r="Q71" s="15" t="n">
        <f aca="false">Q64*$D$23/1000</f>
        <v>0</v>
      </c>
      <c r="R71" s="15" t="n">
        <f aca="false">R64*$D$23/1000</f>
        <v>0</v>
      </c>
      <c r="S71" s="15" t="n">
        <f aca="false">S64*$D$23/1000</f>
        <v>0</v>
      </c>
      <c r="T71" s="15" t="n">
        <f aca="false">T64*$D$23/1000</f>
        <v>0</v>
      </c>
      <c r="U71" s="15" t="n">
        <f aca="false">U64*$D$23/1000</f>
        <v>0</v>
      </c>
      <c r="V71" s="15" t="n">
        <f aca="false">V64*$D$23/1000</f>
        <v>0</v>
      </c>
      <c r="W71" s="15" t="n">
        <f aca="false">W64*$D$23/1000</f>
        <v>0</v>
      </c>
      <c r="X71" s="15" t="n">
        <f aca="false">X64*$D$23/1000</f>
        <v>0</v>
      </c>
      <c r="Y71" s="15" t="n">
        <f aca="false">Y64*$D$23/1000</f>
        <v>0</v>
      </c>
      <c r="Z71" s="15" t="n">
        <f aca="false">Z64*$D$23/1000</f>
        <v>0</v>
      </c>
      <c r="AA71" s="15" t="n">
        <f aca="false">AA64*$D$23/1000</f>
        <v>0</v>
      </c>
      <c r="AB71" s="15" t="n">
        <f aca="false">AB64*$D$23/1000</f>
        <v>0</v>
      </c>
      <c r="AC71" s="15" t="n">
        <f aca="false">AC64*$D$23/1000</f>
        <v>0</v>
      </c>
      <c r="AD71" s="15" t="n">
        <f aca="false">AD64*$D$23/1000</f>
        <v>0</v>
      </c>
      <c r="AE71" s="15" t="n">
        <f aca="false">AE64*$D$23/1000</f>
        <v>0</v>
      </c>
      <c r="AF71" s="15" t="n">
        <f aca="false">AF64*$D$23/1000</f>
        <v>0</v>
      </c>
      <c r="AG71" s="15" t="n">
        <f aca="false">AG64*$D$23/1000</f>
        <v>0</v>
      </c>
      <c r="AH71" s="15" t="n">
        <f aca="false">AH64*$D$23/1000</f>
        <v>0</v>
      </c>
      <c r="AI71" s="15" t="n">
        <f aca="false">AI64*$D$23/1000</f>
        <v>0</v>
      </c>
      <c r="AJ71" s="15" t="n">
        <f aca="false">AJ64*$D$23/1000</f>
        <v>0</v>
      </c>
      <c r="AK71" s="15" t="n">
        <f aca="false">AK64*$D$23/1000</f>
        <v>0</v>
      </c>
      <c r="AL71" s="15" t="n">
        <f aca="false">AL64*$D$23/1000</f>
        <v>0</v>
      </c>
      <c r="AM71" s="15" t="n">
        <f aca="false">AM64*$D$23/1000</f>
        <v>0</v>
      </c>
      <c r="AN71" s="15" t="n">
        <f aca="false">AN64*$D$23/1000</f>
        <v>0</v>
      </c>
      <c r="AO71" s="15" t="n">
        <f aca="false">AO64*$D$23/1000</f>
        <v>0</v>
      </c>
      <c r="AP71" s="15" t="n">
        <f aca="false">AP64*$D$23/1000</f>
        <v>0</v>
      </c>
      <c r="AQ71" s="15" t="n">
        <f aca="false">AQ64*$D$23/1000</f>
        <v>0</v>
      </c>
      <c r="AR71" s="15" t="n">
        <f aca="false">AR64*$D$23/1000</f>
        <v>0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0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0</v>
      </c>
      <c r="L72" s="15" t="n">
        <f aca="false">L65*$D$24/1000</f>
        <v>0</v>
      </c>
      <c r="M72" s="15" t="n">
        <f aca="false">M65*$D$24/1000</f>
        <v>0</v>
      </c>
      <c r="N72" s="15" t="n">
        <f aca="false">N65*$D$24/1000</f>
        <v>0</v>
      </c>
      <c r="O72" s="15" t="n">
        <f aca="false">O65*$D$24/1000</f>
        <v>0</v>
      </c>
      <c r="P72" s="15" t="n">
        <f aca="false">P65*$D$24/1000</f>
        <v>0</v>
      </c>
      <c r="Q72" s="15" t="n">
        <f aca="false">Q65*$D$24/1000</f>
        <v>0</v>
      </c>
      <c r="R72" s="15" t="n">
        <f aca="false">R65*$D$24/1000</f>
        <v>0</v>
      </c>
      <c r="S72" s="15" t="n">
        <f aca="false">S65*$D$24/1000</f>
        <v>0</v>
      </c>
      <c r="T72" s="15" t="n">
        <f aca="false">T65*$D$24/1000</f>
        <v>0</v>
      </c>
      <c r="U72" s="15" t="n">
        <f aca="false">U65*$D$24/1000</f>
        <v>0</v>
      </c>
      <c r="V72" s="15" t="n">
        <f aca="false">V65*$D$24/1000</f>
        <v>0</v>
      </c>
      <c r="W72" s="15" t="n">
        <f aca="false">W65*$D$24/1000</f>
        <v>0</v>
      </c>
      <c r="X72" s="15" t="n">
        <f aca="false">X65*$D$24/1000</f>
        <v>0</v>
      </c>
      <c r="Y72" s="15" t="n">
        <f aca="false">Y65*$D$24/1000</f>
        <v>0</v>
      </c>
      <c r="Z72" s="15" t="n">
        <f aca="false">Z65*$D$24/1000</f>
        <v>0</v>
      </c>
      <c r="AA72" s="15" t="n">
        <f aca="false">AA65*$D$24/1000</f>
        <v>0</v>
      </c>
      <c r="AB72" s="15" t="n">
        <f aca="false">AB65*$D$24/1000</f>
        <v>0</v>
      </c>
      <c r="AC72" s="15" t="n">
        <f aca="false">AC65*$D$24/1000</f>
        <v>0</v>
      </c>
      <c r="AD72" s="15" t="n">
        <f aca="false">AD65*$D$24/1000</f>
        <v>0</v>
      </c>
      <c r="AE72" s="15" t="n">
        <f aca="false">AE65*$D$24/1000</f>
        <v>0</v>
      </c>
      <c r="AF72" s="15" t="n">
        <f aca="false">AF65*$D$24/1000</f>
        <v>0</v>
      </c>
      <c r="AG72" s="15" t="n">
        <f aca="false">AG65*$D$24/1000</f>
        <v>0</v>
      </c>
      <c r="AH72" s="15" t="n">
        <f aca="false">AH65*$D$24/1000</f>
        <v>0</v>
      </c>
      <c r="AI72" s="15" t="n">
        <f aca="false">AI65*$D$24/1000</f>
        <v>0</v>
      </c>
      <c r="AJ72" s="15" t="n">
        <f aca="false">AJ65*$D$24/1000</f>
        <v>0</v>
      </c>
      <c r="AK72" s="15" t="n">
        <f aca="false">AK65*$D$24/1000</f>
        <v>0</v>
      </c>
      <c r="AL72" s="15" t="n">
        <f aca="false">AL65*$D$24/1000</f>
        <v>0</v>
      </c>
      <c r="AM72" s="15" t="n">
        <f aca="false">AM65*$D$24/1000</f>
        <v>0</v>
      </c>
      <c r="AN72" s="15" t="n">
        <f aca="false">AN65*$D$24/1000</f>
        <v>0</v>
      </c>
      <c r="AO72" s="15" t="n">
        <f aca="false">AO65*$D$24/1000</f>
        <v>0</v>
      </c>
      <c r="AP72" s="15" t="n">
        <f aca="false">AP65*$D$24/1000</f>
        <v>0</v>
      </c>
      <c r="AQ72" s="15" t="n">
        <f aca="false">AQ65*$D$24/1000</f>
        <v>0</v>
      </c>
      <c r="AR72" s="15" t="n">
        <f aca="false">AR65*$D$24/1000</f>
        <v>0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1975.23111568933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31.1105280826022</v>
      </c>
      <c r="J73" s="15" t="n">
        <f aca="false">SUM(J68:J72)</f>
        <v>62.2210561652044</v>
      </c>
      <c r="K73" s="15" t="n">
        <f aca="false">SUM(K68:K72)</f>
        <v>87.1094786312861</v>
      </c>
      <c r="L73" s="15" t="n">
        <f aca="false">SUM(L68:L72)</f>
        <v>87.1094786312861</v>
      </c>
      <c r="M73" s="15" t="n">
        <f aca="false">SUM(M68:M72)</f>
        <v>87.1094786312861</v>
      </c>
      <c r="N73" s="15" t="n">
        <f aca="false">SUM(N68:N72)</f>
        <v>87.1094786312861</v>
      </c>
      <c r="O73" s="15" t="n">
        <f aca="false">SUM(O68:O72)</f>
        <v>87.1094786312861</v>
      </c>
      <c r="P73" s="15" t="n">
        <f aca="false">SUM(P68:P72)</f>
        <v>85.7761702848889</v>
      </c>
      <c r="Q73" s="15" t="n">
        <f aca="false">SUM(Q68:Q72)</f>
        <v>85.7761702848889</v>
      </c>
      <c r="R73" s="15" t="n">
        <f aca="false">SUM(R68:R72)</f>
        <v>85.7761702848889</v>
      </c>
      <c r="S73" s="15" t="n">
        <f aca="false">SUM(S68:S72)</f>
        <v>85.7761702848889</v>
      </c>
      <c r="T73" s="15" t="n">
        <f aca="false">SUM(T68:T72)</f>
        <v>85.7761702848889</v>
      </c>
      <c r="U73" s="15" t="n">
        <f aca="false">SUM(U68:U72)</f>
        <v>85.7761702848889</v>
      </c>
      <c r="V73" s="15" t="n">
        <f aca="false">SUM(V68:V72)</f>
        <v>79.8371737385895</v>
      </c>
      <c r="W73" s="15" t="n">
        <f aca="false">SUM(W68:W72)</f>
        <v>74.3093832400749</v>
      </c>
      <c r="X73" s="15" t="n">
        <f aca="false">SUM(X68:X72)</f>
        <v>69.1643275800393</v>
      </c>
      <c r="Y73" s="15" t="n">
        <f aca="false">SUM(Y68:Y72)</f>
        <v>64.3755068474199</v>
      </c>
      <c r="Z73" s="15" t="n">
        <f aca="false">SUM(Z68:Z72)</f>
        <v>59.9182559400493</v>
      </c>
      <c r="AA73" s="15" t="n">
        <f aca="false">SUM(AA68:AA72)</f>
        <v>55.7696175256</v>
      </c>
      <c r="AB73" s="15" t="n">
        <f aca="false">SUM(AB68:AB72)</f>
        <v>51.9082237984972</v>
      </c>
      <c r="AC73" s="15" t="n">
        <f aca="false">SUM(AC68:AC72)</f>
        <v>48.3141864237822</v>
      </c>
      <c r="AD73" s="15" t="n">
        <f aca="false">SUM(AD68:AD72)</f>
        <v>44.9689941010765</v>
      </c>
      <c r="AE73" s="15" t="n">
        <f aca="false">SUM(AE68:AE72)</f>
        <v>41.855417221043</v>
      </c>
      <c r="AF73" s="15" t="n">
        <f aca="false">SUM(AF68:AF72)</f>
        <v>38.9574191232719</v>
      </c>
      <c r="AG73" s="15" t="n">
        <f aca="false">SUM(AG68:AG72)</f>
        <v>36.2600734985208</v>
      </c>
      <c r="AH73" s="15" t="n">
        <f aca="false">SUM(AH68:AH72)</f>
        <v>33.7494875098828</v>
      </c>
      <c r="AI73" s="15" t="n">
        <f aca="false">SUM(AI68:AI72)</f>
        <v>31.4127302369146</v>
      </c>
      <c r="AJ73" s="15" t="n">
        <f aca="false">SUM(AJ68:AJ72)</f>
        <v>29.2377660741729</v>
      </c>
      <c r="AK73" s="15" t="n">
        <f aca="false">SUM(AK68:AK72)</f>
        <v>27.2133927411213</v>
      </c>
      <c r="AL73" s="15" t="n">
        <f aca="false">SUM(AL68:AL72)</f>
        <v>25.3291835841279</v>
      </c>
      <c r="AM73" s="15" t="n">
        <f aca="false">SUM(AM68:AM72)</f>
        <v>23.5754338733738</v>
      </c>
      <c r="AN73" s="15" t="n">
        <f aca="false">SUM(AN68:AN72)</f>
        <v>21.9431108180725</v>
      </c>
      <c r="AO73" s="15" t="n">
        <f aca="false">SUM(AO68:AO72)</f>
        <v>20.4238070425511</v>
      </c>
      <c r="AP73" s="15" t="n">
        <f aca="false">SUM(AP68:AP72)</f>
        <v>19.0096972835688</v>
      </c>
      <c r="AQ73" s="15" t="n">
        <f aca="false">SUM(AQ68:AQ72)</f>
        <v>17.6934980858389</v>
      </c>
      <c r="AR73" s="15" t="n">
        <f aca="false">SUM(AR68:AR72)</f>
        <v>16.4684302881657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269.735839432545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2.59354657165266</v>
      </c>
      <c r="J74" s="15" t="n">
        <f aca="false">J52*$D$37/1000*(Исходные!$C$23+Исходные!$C$24*J56)/1000+Исходные!$C$25*J56*(J69+J70)</f>
        <v>5.54595581443066</v>
      </c>
      <c r="K74" s="15" t="n">
        <f aca="false">K52*$D$37/1000*(Исходные!$C$23+Исходные!$C$24*K56)/1000+Исходные!$C$25*K56*(K69+K70)</f>
        <v>8.26674587977838</v>
      </c>
      <c r="L74" s="15" t="n">
        <f aca="false">L52*$D$37/1000*(Исходные!$C$23+Исходные!$C$24*L56)/1000+Исходные!$C$25*L56*(L69+L70)</f>
        <v>8.76915361935385</v>
      </c>
      <c r="M74" s="15" t="n">
        <f aca="false">M52*$D$37/1000*(Исходные!$C$23+Исходные!$C$24*M56)/1000+Исходные!$C$25*M56*(M69+M70)</f>
        <v>9.27156135892931</v>
      </c>
      <c r="N74" s="15" t="n">
        <f aca="false">N52*$D$37/1000*(Исходные!$C$23+Исходные!$C$24*N56)/1000+Исходные!$C$25*N56*(N69+N70)</f>
        <v>9.77396909850477</v>
      </c>
      <c r="O74" s="15" t="n">
        <f aca="false">O52*$D$37/1000*(Исходные!$C$23+Исходные!$C$24*O56)/1000+Исходные!$C$25*O56*(O69+O70)</f>
        <v>10.2763768380802</v>
      </c>
      <c r="P74" s="15" t="n">
        <f aca="false">P52*$D$37/1000*(Исходные!$C$23+Исходные!$C$24*P56)/1000+Исходные!$C$25*P56*(P69+P70)</f>
        <v>10.7299668759676</v>
      </c>
      <c r="Q74" s="15" t="n">
        <f aca="false">Q52*$D$37/1000*(Исходные!$C$23+Исходные!$C$24*Q56)/1000+Исходные!$C$25*Q56*(Q69+Q70)</f>
        <v>11.2275800198416</v>
      </c>
      <c r="R74" s="15" t="n">
        <f aca="false">R52*$D$37/1000*(Исходные!$C$23+Исходные!$C$24*R56)/1000+Исходные!$C$25*R56*(R69+R70)</f>
        <v>11.7251931637155</v>
      </c>
      <c r="S74" s="15" t="n">
        <f aca="false">S52*$D$37/1000*(Исходные!$C$23+Исходные!$C$24*S56)/1000+Исходные!$C$25*S56*(S69+S70)</f>
        <v>12.2228063075895</v>
      </c>
      <c r="T74" s="15" t="n">
        <f aca="false">T52*$D$37/1000*(Исходные!$C$23+Исходные!$C$24*T56)/1000+Исходные!$C$25*T56*(T69+T70)</f>
        <v>12.7204194514634</v>
      </c>
      <c r="U74" s="15" t="n">
        <f aca="false">U52*$D$37/1000*(Исходные!$C$23+Исходные!$C$24*U56)/1000+Исходные!$C$25*U56*(U69+U70)</f>
        <v>13.2029534091594</v>
      </c>
      <c r="V74" s="15" t="n">
        <f aca="false">V52*$D$37/1000*(Исходные!$C$23+Исходные!$C$24*V56)/1000+Исходные!$C$25*V56*(V69+V70)</f>
        <v>12.2888033085252</v>
      </c>
      <c r="W74" s="15" t="n">
        <f aca="false">W52*$D$37/1000*(Исходные!$C$23+Исходные!$C$24*W56)/1000+Исходные!$C$25*W56*(W69+W70)</f>
        <v>11.4379474103767</v>
      </c>
      <c r="X74" s="15" t="n">
        <f aca="false">X52*$D$37/1000*(Исходные!$C$23+Исходные!$C$24*X56)/1000+Исходные!$C$25*X56*(X69+X70)</f>
        <v>10.6460033314867</v>
      </c>
      <c r="Y74" s="15" t="n">
        <f aca="false">Y52*$D$37/1000*(Исходные!$C$23+Исходные!$C$24*Y56)/1000+Исходные!$C$25*Y56*(Y69+Y70)</f>
        <v>9.90889211740944</v>
      </c>
      <c r="Z74" s="15" t="n">
        <f aca="false">Z52*$D$37/1000*(Исходные!$C$23+Исходные!$C$24*Z56)/1000+Исходные!$C$25*Z56*(Z69+Z70)</f>
        <v>9.2228172335869</v>
      </c>
      <c r="AA74" s="15" t="n">
        <f aca="false">AA52*$D$37/1000*(Исходные!$C$23+Исходные!$C$24*AA56)/1000+Исходные!$C$25*AA56*(AA69+AA70)</f>
        <v>8.5842450110745</v>
      </c>
      <c r="AB74" s="15" t="n">
        <f aca="false">AB52*$D$37/1000*(Исходные!$C$23+Исходные!$C$24*AB56)/1000+Исходные!$C$25*AB56*(AB69+AB70)</f>
        <v>7.989886446172</v>
      </c>
      <c r="AC74" s="15" t="n">
        <f aca="false">AC52*$D$37/1000*(Исходные!$C$23+Исходные!$C$24*AC56)/1000+Исходные!$C$25*AC56*(AC69+AC70)</f>
        <v>7.43668026021689</v>
      </c>
      <c r="AD74" s="15" t="n">
        <f aca="false">AD52*$D$37/1000*(Исходные!$C$23+Исходные!$C$24*AD56)/1000+Исходные!$C$25*AD56*(AD69+AD70)</f>
        <v>6.92177713228905</v>
      </c>
      <c r="AE74" s="15" t="n">
        <f aca="false">AE52*$D$37/1000*(Исходные!$C$23+Исходные!$C$24*AE56)/1000+Исходные!$C$25*AE56*(AE69+AE70)</f>
        <v>6.44252502361615</v>
      </c>
      <c r="AF74" s="15" t="n">
        <f aca="false">AF52*$D$37/1000*(Исходные!$C$23+Исходные!$C$24*AF56)/1000+Исходные!$C$25*AF56*(AF69+AF70)</f>
        <v>5.99645551809238</v>
      </c>
      <c r="AG74" s="15" t="n">
        <f aca="false">AG52*$D$37/1000*(Исходные!$C$23+Исходные!$C$24*AG56)/1000+Исходные!$C$25*AG56*(AG69+AG70)</f>
        <v>5.58127110855641</v>
      </c>
      <c r="AH74" s="15" t="n">
        <f aca="false">AH52*$D$37/1000*(Исходные!$C$23+Исходные!$C$24*AH56)/1000+Исходные!$C$25*AH56*(AH69+AH70)</f>
        <v>5.194833363346</v>
      </c>
      <c r="AI74" s="15" t="n">
        <f aca="false">AI52*$D$37/1000*(Исходные!$C$23+Исходные!$C$24*AI56)/1000+Исходные!$C$25*AI56*(AI69+AI70)</f>
        <v>4.83515191218021</v>
      </c>
      <c r="AJ74" s="15" t="n">
        <f aca="false">AJ52*$D$37/1000*(Исходные!$C$23+Исходные!$C$24*AJ56)/1000+Исходные!$C$25*AJ56*(AJ69+AJ70)</f>
        <v>4.50037419464052</v>
      </c>
      <c r="AK74" s="15" t="n">
        <f aca="false">AK52*$D$37/1000*(Исходные!$C$23+Исходные!$C$24*AK56)/1000+Исходные!$C$25*AK56*(AK69+AK70)</f>
        <v>4.18877591844966</v>
      </c>
      <c r="AL74" s="15" t="n">
        <f aca="false">AL52*$D$37/1000*(Исходные!$C$23+Исходные!$C$24*AL56)/1000+Исходные!$C$25*AL56*(AL69+AL70)</f>
        <v>3.8987521784031</v>
      </c>
      <c r="AM74" s="15" t="n">
        <f aca="false">AM52*$D$37/1000*(Исходные!$C$23+Исходные!$C$24*AM56)/1000+Исходные!$C$25*AM56*(AM69+AM70)</f>
        <v>3.62880919021058</v>
      </c>
      <c r="AN74" s="15" t="n">
        <f aca="false">AN52*$D$37/1000*(Исходные!$C$23+Исходные!$C$24*AN56)/1000+Исходные!$C$25*AN56*(AN69+AN70)</f>
        <v>3.37755659667253</v>
      </c>
      <c r="AO74" s="15" t="n">
        <f aca="false">AO52*$D$37/1000*(Исходные!$C$23+Исходные!$C$24*AO56)/1000+Исходные!$C$25*AO56*(AO69+AO70)</f>
        <v>3.14370030656368</v>
      </c>
      <c r="AP74" s="15" t="n">
        <f aca="false">AP52*$D$37/1000*(Исходные!$C$23+Исходные!$C$24*AP56)/1000+Исходные!$C$25*AP56*(AP69+AP70)</f>
        <v>2.92603582934032</v>
      </c>
      <c r="AQ74" s="15" t="n">
        <f aca="false">AQ52*$D$37/1000*(Исходные!$C$23+Исходные!$C$24*AQ56)/1000+Исходные!$C$25*AQ56*(AQ69+AQ70)</f>
        <v>2.72344207134106</v>
      </c>
      <c r="AR74" s="15" t="n">
        <f aca="false">AR52*$D$37/1000*(Исходные!$C$23+Исходные!$C$24*AR56)/1000+Исходные!$C$25*AR56*(AR69+AR70)</f>
        <v>2.53487556152813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0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0</v>
      </c>
      <c r="H80" s="15" t="n">
        <f aca="false">$D80*CAPEX_нормы!M$10</f>
        <v>0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53.8627468740055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22.4428291517513</v>
      </c>
      <c r="H81" s="15" t="n">
        <f aca="false">$D81*CAPEX_нормы!M$11</f>
        <v>31.4199177222543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8.61803949984089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4.48855936682063</v>
      </c>
      <c r="H82" s="15" t="n">
        <f aca="false">$D82*CAPEX_нормы!M$12</f>
        <v>4.12948013302026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2.69313734370028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1.34656867185014</v>
      </c>
      <c r="H83" s="15" t="n">
        <f aca="false">$D83*CAPEX_нормы!M$13</f>
        <v>1.34656867185014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10.7725493748011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10.7725493748011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0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0</v>
      </c>
      <c r="J92" s="15" t="n">
        <f aca="false">$D92*CAPEX_нормы!O$22</f>
        <v>0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423.002304079336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138.839329512733</v>
      </c>
      <c r="H93" s="15" t="n">
        <f aca="false">SUM(H76:H92)</f>
        <v>114.974571490772</v>
      </c>
      <c r="I93" s="15" t="n">
        <f aca="false">SUM(I76:I92)</f>
        <v>6.85714285714286</v>
      </c>
      <c r="J93" s="15" t="n">
        <f aca="false">SUM(J76:J92)</f>
        <v>0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31.2982089499826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230.738190810586</v>
      </c>
      <c r="H94" s="15" t="n">
        <f aca="false">G94+H93</f>
        <v>345.712762301357</v>
      </c>
      <c r="I94" s="15" t="n">
        <f aca="false">H94+I93</f>
        <v>352.5699051585</v>
      </c>
      <c r="J94" s="15" t="n">
        <f aca="false">I94+J93</f>
        <v>352.5699051585</v>
      </c>
      <c r="K94" s="15" t="n">
        <f aca="false">J94+K93</f>
        <v>352.5699051585</v>
      </c>
      <c r="L94" s="15" t="n">
        <f aca="false">K94+L93</f>
        <v>352.5699051585</v>
      </c>
      <c r="M94" s="15" t="n">
        <f aca="false">L94+M93</f>
        <v>352.5699051585</v>
      </c>
      <c r="N94" s="15" t="n">
        <f aca="false">M94+N93</f>
        <v>355.141333729929</v>
      </c>
      <c r="O94" s="15" t="n">
        <f aca="false">N94+O93</f>
        <v>371.178435554172</v>
      </c>
      <c r="P94" s="15" t="n">
        <f aca="false">O94+P93</f>
        <v>402.476644504154</v>
      </c>
      <c r="Q94" s="15" t="n">
        <f aca="false">P94+Q93</f>
        <v>405.048073075583</v>
      </c>
      <c r="R94" s="15" t="n">
        <f aca="false">Q94+R93</f>
        <v>405.048073075583</v>
      </c>
      <c r="S94" s="15" t="n">
        <f aca="false">R94+S93</f>
        <v>405.048073075583</v>
      </c>
      <c r="T94" s="15" t="n">
        <f aca="false">S94+T93</f>
        <v>405.048073075583</v>
      </c>
      <c r="U94" s="15" t="n">
        <f aca="false">T94+U93</f>
        <v>405.048073075583</v>
      </c>
      <c r="V94" s="15" t="n">
        <f aca="false">U94+V93</f>
        <v>405.048073075583</v>
      </c>
      <c r="W94" s="15" t="n">
        <f aca="false">V94+W93</f>
        <v>423.002304079336</v>
      </c>
      <c r="X94" s="15" t="n">
        <f aca="false">W94+X93</f>
        <v>423.002304079336</v>
      </c>
      <c r="Y94" s="15" t="n">
        <f aca="false">X94+Y93</f>
        <v>423.002304079336</v>
      </c>
      <c r="Z94" s="15" t="n">
        <f aca="false">Y94+Z93</f>
        <v>423.002304079336</v>
      </c>
      <c r="AA94" s="15" t="n">
        <f aca="false">Z94+AA93</f>
        <v>423.002304079336</v>
      </c>
      <c r="AB94" s="15" t="n">
        <f aca="false">AA94+AB93</f>
        <v>423.002304079336</v>
      </c>
      <c r="AC94" s="15" t="n">
        <f aca="false">AB94+AC93</f>
        <v>423.002304079336</v>
      </c>
      <c r="AD94" s="15" t="n">
        <f aca="false">AC94+AD93</f>
        <v>423.002304079336</v>
      </c>
      <c r="AE94" s="15" t="n">
        <f aca="false">AD94+AE93</f>
        <v>423.002304079336</v>
      </c>
      <c r="AF94" s="15" t="n">
        <f aca="false">AE94+AF93</f>
        <v>423.002304079336</v>
      </c>
      <c r="AG94" s="15" t="n">
        <f aca="false">AF94+AG93</f>
        <v>423.002304079336</v>
      </c>
      <c r="AH94" s="15" t="n">
        <f aca="false">AG94+AH93</f>
        <v>423.002304079336</v>
      </c>
      <c r="AI94" s="15" t="n">
        <f aca="false">AH94+AI93</f>
        <v>423.002304079336</v>
      </c>
      <c r="AJ94" s="15" t="n">
        <f aca="false">AI94+AJ93</f>
        <v>423.002304079336</v>
      </c>
      <c r="AK94" s="15" t="n">
        <f aca="false">AJ94+AK93</f>
        <v>423.002304079336</v>
      </c>
      <c r="AL94" s="15" t="n">
        <f aca="false">AK94+AL93</f>
        <v>423.002304079336</v>
      </c>
      <c r="AM94" s="15" t="n">
        <f aca="false">AL94+AM93</f>
        <v>423.002304079336</v>
      </c>
      <c r="AN94" s="15" t="n">
        <f aca="false">AM94+AN93</f>
        <v>423.002304079336</v>
      </c>
      <c r="AO94" s="15" t="n">
        <f aca="false">AN94+AO93</f>
        <v>423.002304079336</v>
      </c>
      <c r="AP94" s="15" t="n">
        <f aca="false">AO94+AP93</f>
        <v>423.002304079336</v>
      </c>
      <c r="AQ94" s="15" t="n">
        <f aca="false">AP94+AQ93</f>
        <v>423.002304079336</v>
      </c>
      <c r="AR94" s="15" t="n">
        <f aca="false">AQ94+AR93</f>
        <v>423.002304079336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294.278605609301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6.46028229820353</v>
      </c>
      <c r="J97" s="15" t="n">
        <f aca="false">J96*Исходные!$C$33*J94+J52*Исходные!$C$34/1000+J62*Исходные!$C$35/1000+(J61+J62)*Исходные!$C$36/1000+IF(J59&gt;0,$D$43*Исходные!$C$41/1000,0)+J96*$D$33</f>
        <v>7.63201601902956</v>
      </c>
      <c r="K97" s="15" t="n">
        <f aca="false">K96*Исходные!$C$33*K94+K52*Исходные!$C$34/1000+K62*Исходные!$C$35/1000+(K61+K62)*Исходные!$C$36/1000+IF(K59&gt;0,$D$43*Исходные!$C$41/1000,0)+K96*$D$33</f>
        <v>8.56940299569038</v>
      </c>
      <c r="L97" s="15" t="n">
        <f aca="false">L96*Исходные!$C$33*L94+L52*Исходные!$C$34/1000+L62*Исходные!$C$35/1000+(L61+L62)*Исходные!$C$36/1000+IF(L59&gt;0,$D$43*Исходные!$C$41/1000,0)+L96*$D$33</f>
        <v>8.56940299569038</v>
      </c>
      <c r="M97" s="15" t="n">
        <f aca="false">M96*Исходные!$C$33*M94+M52*Исходные!$C$34/1000+M62*Исходные!$C$35/1000+(M61+M62)*Исходные!$C$36/1000+IF(M59&gt;0,$D$43*Исходные!$C$41/1000,0)+M96*$D$33</f>
        <v>8.56940299569038</v>
      </c>
      <c r="N97" s="15" t="n">
        <f aca="false">N96*Исходные!$C$33*N94+N52*Исходные!$C$34/1000+N62*Исходные!$C$35/1000+(N61+N62)*Исходные!$C$36/1000+IF(N59&gt;0,$D$43*Исходные!$C$41/1000,0)+N96*$D$33</f>
        <v>8.60797442426181</v>
      </c>
      <c r="O97" s="15" t="n">
        <f aca="false">O96*Исходные!$C$33*O94+O52*Исходные!$C$34/1000+O62*Исходные!$C$35/1000+(O61+O62)*Исходные!$C$36/1000+IF(O59&gt;0,$D$43*Исходные!$C$41/1000,0)+O96*$D$33</f>
        <v>8.84853095162545</v>
      </c>
      <c r="P97" s="15" t="n">
        <f aca="false">P96*Исходные!$C$33*P94+P52*Исходные!$C$34/1000+P62*Исходные!$C$35/1000+(P61+P62)*Исходные!$C$36/1000+IF(P59&gt;0,$D$43*Исходные!$C$41/1000,0)+P96*$D$33</f>
        <v>9.29533794681938</v>
      </c>
      <c r="Q97" s="15" t="n">
        <f aca="false">Q96*Исходные!$C$33*Q94+Q52*Исходные!$C$34/1000+Q62*Исходные!$C$35/1000+(Q61+Q62)*Исходные!$C$36/1000+IF(Q59&gt;0,$D$43*Исходные!$C$41/1000,0)+Q96*$D$33</f>
        <v>9.33390937539081</v>
      </c>
      <c r="R97" s="15" t="n">
        <f aca="false">R96*Исходные!$C$33*R94+R52*Исходные!$C$34/1000+R62*Исходные!$C$35/1000+(R61+R62)*Исходные!$C$36/1000+IF(R59&gt;0,$D$43*Исходные!$C$41/1000,0)+R96*$D$33</f>
        <v>9.33390937539081</v>
      </c>
      <c r="S97" s="15" t="n">
        <f aca="false">S96*Исходные!$C$33*S94+S52*Исходные!$C$34/1000+S62*Исходные!$C$35/1000+(S61+S62)*Исходные!$C$36/1000+IF(S59&gt;0,$D$43*Исходные!$C$41/1000,0)+S96*$D$33</f>
        <v>9.33390937539081</v>
      </c>
      <c r="T97" s="15" t="n">
        <f aca="false">T96*Исходные!$C$33*T94+T52*Исходные!$C$34/1000+T62*Исходные!$C$35/1000+(T61+T62)*Исходные!$C$36/1000+IF(T59&gt;0,$D$43*Исходные!$C$41/1000,0)+T96*$D$33</f>
        <v>9.33390937539081</v>
      </c>
      <c r="U97" s="15" t="n">
        <f aca="false">U96*Исходные!$C$33*U94+U52*Исходные!$C$34/1000+U62*Исходные!$C$35/1000+(U61+U62)*Исходные!$C$36/1000+IF(U59&gt;0,$D$43*Исходные!$C$41/1000,0)+U96*$D$33</f>
        <v>9.33390937539081</v>
      </c>
      <c r="V97" s="15" t="n">
        <f aca="false">V96*Исходные!$C$33*V94+V52*Исходные!$C$34/1000+V62*Исходные!$C$35/1000+(V61+V62)*Исходные!$C$36/1000+IF(V59&gt;0,$D$43*Исходные!$C$41/1000,0)+V96*$D$33</f>
        <v>9.10831794512023</v>
      </c>
      <c r="W97" s="15" t="n">
        <f aca="false">W96*Исходные!$C$33*W94+W52*Исходные!$C$34/1000+W62*Исходные!$C$35/1000+(W61+W62)*Исходные!$C$36/1000+IF(W59&gt;0,$D$43*Исходные!$C$41/1000,0)+W96*$D$33</f>
        <v>9.16765954791419</v>
      </c>
      <c r="X97" s="15" t="n">
        <f aca="false">X96*Исходные!$C$33*X94+X52*Исходные!$C$34/1000+X62*Исходные!$C$35/1000+(X61+X62)*Исходные!$C$36/1000+IF(X59&gt;0,$D$43*Исходные!$C$41/1000,0)+X96*$D$33</f>
        <v>8.97222578126343</v>
      </c>
      <c r="Y97" s="15" t="n">
        <f aca="false">Y96*Исходные!$C$33*Y94+Y52*Исходные!$C$34/1000+Y62*Исходные!$C$35/1000+(Y61+Y62)*Исходные!$C$36/1000+IF(Y59&gt;0,$D$43*Исходные!$C$41/1000,0)+Y96*$D$33</f>
        <v>8.79032351714203</v>
      </c>
      <c r="Z97" s="15" t="n">
        <f aca="false">Z96*Исходные!$C$33*Z94+Z52*Исходные!$C$34/1000+Z62*Исходные!$C$35/1000+(Z61+Z62)*Исходные!$C$36/1000+IF(Z59&gt;0,$D$43*Исходные!$C$41/1000,0)+Z96*$D$33</f>
        <v>8.62101585726553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8.46343077259761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8.31675661191339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8.18023792134215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8.05317155335789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7.93490304517668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7.82482324790774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7.7223651890963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7.62700115249873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7.53823996004905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7.45562444201749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7.37872908233096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7.30715782692757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7.24054204385692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7.17853862461962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7.12082821696685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7.06711358005782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7.01711805350344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6.97058413241071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423.002304079336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345.712762301357</v>
      </c>
      <c r="J98" s="15" t="n">
        <f aca="false">I93</f>
        <v>6.85714285714286</v>
      </c>
      <c r="K98" s="15" t="n">
        <f aca="false">J93</f>
        <v>0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31.2982089499826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423.002304079336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23.0475174867571</v>
      </c>
      <c r="J99" s="15" t="n">
        <f aca="true">SUM(OFFSET(J98,0,-MIN(Исходные!$C$32-1,J47),1,MIN(Исходные!$C$32,J47+1)))/Исходные!$C$32</f>
        <v>23.5046603439</v>
      </c>
      <c r="K99" s="15" t="n">
        <f aca="true">SUM(OFFSET(K98,0,-MIN(Исходные!$C$32-1,K47),1,MIN(Исходные!$C$32,K47+1)))/Исходные!$C$32</f>
        <v>23.5046603439</v>
      </c>
      <c r="L99" s="15" t="n">
        <f aca="true">SUM(OFFSET(L98,0,-MIN(Исходные!$C$32-1,L47),1,MIN(Исходные!$C$32,L47+1)))/Исходные!$C$32</f>
        <v>23.5046603439</v>
      </c>
      <c r="M99" s="15" t="n">
        <f aca="true">SUM(OFFSET(M98,0,-MIN(Исходные!$C$32-1,M47),1,MIN(Исходные!$C$32,M47+1)))/Исходные!$C$32</f>
        <v>23.5046603439</v>
      </c>
      <c r="N99" s="15" t="n">
        <f aca="true">SUM(OFFSET(N98,0,-MIN(Исходные!$C$32-1,N47),1,MIN(Исходные!$C$32,N47+1)))/Исходные!$C$32</f>
        <v>23.5046603439</v>
      </c>
      <c r="O99" s="15" t="n">
        <f aca="true">SUM(OFFSET(O98,0,-MIN(Исходные!$C$32-1,O47),1,MIN(Исходные!$C$32,O47+1)))/Исходные!$C$32</f>
        <v>23.6760889153286</v>
      </c>
      <c r="P99" s="15" t="n">
        <f aca="true">SUM(OFFSET(P98,0,-MIN(Исходные!$C$32-1,P47),1,MIN(Исходные!$C$32,P47+1)))/Исходные!$C$32</f>
        <v>24.7452290369448</v>
      </c>
      <c r="Q99" s="15" t="n">
        <f aca="true">SUM(OFFSET(Q98,0,-MIN(Исходные!$C$32-1,Q47),1,MIN(Исходные!$C$32,Q47+1)))/Исходные!$C$32</f>
        <v>26.831776300277</v>
      </c>
      <c r="R99" s="15" t="n">
        <f aca="true">SUM(OFFSET(R98,0,-MIN(Исходные!$C$32-1,R47),1,MIN(Исходные!$C$32,R47+1)))/Исходные!$C$32</f>
        <v>27.0032048717055</v>
      </c>
      <c r="S99" s="15" t="n">
        <f aca="true">SUM(OFFSET(S98,0,-MIN(Исходные!$C$32-1,S47),1,MIN(Исходные!$C$32,S47+1)))/Исходные!$C$32</f>
        <v>27.0032048717055</v>
      </c>
      <c r="T99" s="15" t="n">
        <f aca="true">SUM(OFFSET(T98,0,-MIN(Исходные!$C$32-1,T47),1,MIN(Исходные!$C$32,T47+1)))/Исходные!$C$32</f>
        <v>27.0032048717055</v>
      </c>
      <c r="U99" s="15" t="n">
        <f aca="true">SUM(OFFSET(U98,0,-MIN(Исходные!$C$32-1,U47),1,MIN(Исходные!$C$32,U47+1)))/Исходные!$C$32</f>
        <v>27.0032048717055</v>
      </c>
      <c r="V99" s="15" t="n">
        <f aca="true">SUM(OFFSET(V98,0,-MIN(Исходные!$C$32-1,V47),1,MIN(Исходные!$C$32,V47+1)))/Исходные!$C$32</f>
        <v>27.0032048717055</v>
      </c>
      <c r="W99" s="15" t="n">
        <f aca="true">SUM(OFFSET(W98,0,-MIN(Исходные!$C$32-1,W47),1,MIN(Исходные!$C$32,W47+1)))/Исходные!$C$32</f>
        <v>27.0032048717055</v>
      </c>
      <c r="X99" s="15" t="n">
        <f aca="true">SUM(OFFSET(X98,0,-MIN(Исходные!$C$32-1,X47),1,MIN(Исходные!$C$32,X47+1)))/Исходные!$C$32</f>
        <v>5.15263611853191</v>
      </c>
      <c r="Y99" s="15" t="n">
        <f aca="true">SUM(OFFSET(Y98,0,-MIN(Исходные!$C$32-1,Y47),1,MIN(Исходные!$C$32,Y47+1)))/Исходные!$C$32</f>
        <v>4.69549326138906</v>
      </c>
      <c r="Z99" s="15" t="n">
        <f aca="true">SUM(OFFSET(Z98,0,-MIN(Исходные!$C$32-1,Z47),1,MIN(Исходные!$C$32,Z47+1)))/Исходные!$C$32</f>
        <v>4.69549326138906</v>
      </c>
      <c r="AA99" s="15" t="n">
        <f aca="true">SUM(OFFSET(AA98,0,-MIN(Исходные!$C$32-1,AA47),1,MIN(Исходные!$C$32,AA47+1)))/Исходные!$C$32</f>
        <v>4.69549326138906</v>
      </c>
      <c r="AB99" s="15" t="n">
        <f aca="true">SUM(OFFSET(AB98,0,-MIN(Исходные!$C$32-1,AB47),1,MIN(Исходные!$C$32,AB47+1)))/Исходные!$C$32</f>
        <v>4.69549326138906</v>
      </c>
      <c r="AC99" s="15" t="n">
        <f aca="true">SUM(OFFSET(AC98,0,-MIN(Исходные!$C$32-1,AC47),1,MIN(Исходные!$C$32,AC47+1)))/Исходные!$C$32</f>
        <v>4.69549326138906</v>
      </c>
      <c r="AD99" s="15" t="n">
        <f aca="true">SUM(OFFSET(AD98,0,-MIN(Исходные!$C$32-1,AD47),1,MIN(Исходные!$C$32,AD47+1)))/Исходные!$C$32</f>
        <v>4.52406468996048</v>
      </c>
      <c r="AE99" s="15" t="n">
        <f aca="true">SUM(OFFSET(AE98,0,-MIN(Исходные!$C$32-1,AE47),1,MIN(Исходные!$C$32,AE47+1)))/Исходные!$C$32</f>
        <v>3.45492456834427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23.0475174867571</v>
      </c>
      <c r="J100" s="15" t="n">
        <f aca="false">I100+J99</f>
        <v>46.5521778306572</v>
      </c>
      <c r="K100" s="15" t="n">
        <f aca="false">J100+K99</f>
        <v>70.0568381745572</v>
      </c>
      <c r="L100" s="15" t="n">
        <f aca="false">K100+L99</f>
        <v>93.5614985184572</v>
      </c>
      <c r="M100" s="15" t="n">
        <f aca="false">L100+M99</f>
        <v>117.066158862357</v>
      </c>
      <c r="N100" s="15" t="n">
        <f aca="false">M100+N99</f>
        <v>140.570819206257</v>
      </c>
      <c r="O100" s="15" t="n">
        <f aca="false">N100+O99</f>
        <v>164.246908121586</v>
      </c>
      <c r="P100" s="15" t="n">
        <f aca="false">O100+P99</f>
        <v>188.992137158531</v>
      </c>
      <c r="Q100" s="15" t="n">
        <f aca="false">P100+Q99</f>
        <v>215.823913458807</v>
      </c>
      <c r="R100" s="15" t="n">
        <f aca="false">Q100+R99</f>
        <v>242.827118330513</v>
      </c>
      <c r="S100" s="15" t="n">
        <f aca="false">R100+S99</f>
        <v>269.830323202219</v>
      </c>
      <c r="T100" s="15" t="n">
        <f aca="false">S100+T99</f>
        <v>296.833528073924</v>
      </c>
      <c r="U100" s="15" t="n">
        <f aca="false">T100+U99</f>
        <v>323.83673294563</v>
      </c>
      <c r="V100" s="15" t="n">
        <f aca="false">U100+V99</f>
        <v>350.839937817335</v>
      </c>
      <c r="W100" s="15" t="n">
        <f aca="false">V100+W99</f>
        <v>377.843142689041</v>
      </c>
      <c r="X100" s="15" t="n">
        <f aca="false">W100+X99</f>
        <v>382.995778807573</v>
      </c>
      <c r="Y100" s="15" t="n">
        <f aca="false">X100+Y99</f>
        <v>387.691272068962</v>
      </c>
      <c r="Z100" s="15" t="n">
        <f aca="false">Y100+Z99</f>
        <v>392.386765330351</v>
      </c>
      <c r="AA100" s="15" t="n">
        <f aca="false">Z100+AA99</f>
        <v>397.08225859174</v>
      </c>
      <c r="AB100" s="15" t="n">
        <f aca="false">AA100+AB99</f>
        <v>401.777751853129</v>
      </c>
      <c r="AC100" s="15" t="n">
        <f aca="false">AB100+AC99</f>
        <v>406.473245114518</v>
      </c>
      <c r="AD100" s="15" t="n">
        <f aca="false">AC100+AD99</f>
        <v>410.997309804478</v>
      </c>
      <c r="AE100" s="15" t="n">
        <f aca="false">AD100+AE99</f>
        <v>414.452234372823</v>
      </c>
      <c r="AF100" s="15" t="n">
        <f aca="false">AE100+AF99</f>
        <v>415.820611677835</v>
      </c>
      <c r="AG100" s="15" t="n">
        <f aca="false">AF100+AG99</f>
        <v>417.017560411418</v>
      </c>
      <c r="AH100" s="15" t="n">
        <f aca="false">AG100+AH99</f>
        <v>418.214509145002</v>
      </c>
      <c r="AI100" s="15" t="n">
        <f aca="false">AH100+AI99</f>
        <v>419.411457878585</v>
      </c>
      <c r="AJ100" s="15" t="n">
        <f aca="false">AI100+AJ99</f>
        <v>420.608406612169</v>
      </c>
      <c r="AK100" s="15" t="n">
        <f aca="false">AJ100+AK99</f>
        <v>421.805355345752</v>
      </c>
      <c r="AL100" s="15" t="n">
        <f aca="false">AK100+AL99</f>
        <v>423.002304079336</v>
      </c>
      <c r="AM100" s="15" t="n">
        <f aca="false">AL100+AM99</f>
        <v>423.002304079336</v>
      </c>
      <c r="AN100" s="15" t="n">
        <f aca="false">AM100+AN99</f>
        <v>423.002304079336</v>
      </c>
      <c r="AO100" s="15" t="n">
        <f aca="false">AN100+AO99</f>
        <v>423.002304079336</v>
      </c>
      <c r="AP100" s="15" t="n">
        <f aca="false">AO100+AP99</f>
        <v>423.002304079336</v>
      </c>
      <c r="AQ100" s="15" t="n">
        <f aca="false">AP100+AQ99</f>
        <v>423.002304079336</v>
      </c>
      <c r="AR100" s="15" t="n">
        <f aca="false">AQ100+AR99</f>
        <v>423.002304079336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66.8427247473332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7.24949252877834</v>
      </c>
      <c r="J101" s="15" t="n">
        <f aca="false">J96*Исходные!$C$31*(J94-J100)</f>
        <v>6.73239000121254</v>
      </c>
      <c r="K101" s="15" t="n">
        <f aca="false">K96*Исходные!$C$31*(K94-K100)</f>
        <v>6.21528747364674</v>
      </c>
      <c r="L101" s="15" t="n">
        <f aca="false">L96*Исходные!$C$31*(L94-L100)</f>
        <v>5.69818494608094</v>
      </c>
      <c r="M101" s="15" t="n">
        <f aca="false">M96*Исходные!$C$31*(M94-M100)</f>
        <v>5.18108241851514</v>
      </c>
      <c r="N101" s="15" t="n">
        <f aca="false">N96*Исходные!$C$31*(N94-N100)</f>
        <v>4.72055131952077</v>
      </c>
      <c r="O101" s="15" t="n">
        <f aca="false">O96*Исходные!$C$31*(O94-O100)</f>
        <v>4.55249360351689</v>
      </c>
      <c r="P101" s="15" t="n">
        <f aca="false">P96*Исходные!$C$31*(P94-P100)</f>
        <v>4.69665916160372</v>
      </c>
      <c r="Q101" s="15" t="n">
        <f aca="false">Q96*Исходные!$C$31*(Q94-Q100)</f>
        <v>4.16293151156906</v>
      </c>
      <c r="R101" s="15" t="n">
        <f aca="false">R96*Исходные!$C$31*(R94-R100)</f>
        <v>3.56886100439154</v>
      </c>
      <c r="S101" s="15" t="n">
        <f aca="false">S96*Исходные!$C$31*(S94-S100)</f>
        <v>2.97479049721402</v>
      </c>
      <c r="T101" s="15" t="n">
        <f aca="false">T96*Исходные!$C$31*(T94-T100)</f>
        <v>2.38071999003649</v>
      </c>
      <c r="U101" s="15" t="n">
        <f aca="false">U96*Исходные!$C$31*(U94-U100)</f>
        <v>1.78664948285897</v>
      </c>
      <c r="V101" s="15" t="n">
        <f aca="false">V96*Исходные!$C$31*(V94-V100)</f>
        <v>1.19257897568145</v>
      </c>
      <c r="W101" s="15" t="n">
        <f aca="false">W96*Исходные!$C$31*(W94-W100)</f>
        <v>0.993501550586494</v>
      </c>
      <c r="X101" s="15" t="n">
        <f aca="false">X96*Исходные!$C$31*(X94-X100)</f>
        <v>0.880143555978792</v>
      </c>
      <c r="Y101" s="15" t="n">
        <f aca="false">Y96*Исходные!$C$31*(Y94-Y100)</f>
        <v>0.776842704228233</v>
      </c>
      <c r="Z101" s="15" t="n">
        <f aca="false">Z96*Исходные!$C$31*(Z94-Z100)</f>
        <v>0.673541852477674</v>
      </c>
      <c r="AA101" s="15" t="n">
        <f aca="false">AA96*Исходные!$C$31*(AA94-AA100)</f>
        <v>0.570241000727114</v>
      </c>
      <c r="AB101" s="15" t="n">
        <f aca="false">AB96*Исходные!$C$31*(AB94-AB100)</f>
        <v>0.466940148976555</v>
      </c>
      <c r="AC101" s="15" t="n">
        <f aca="false">AC96*Исходные!$C$31*(AC94-AC100)</f>
        <v>0.363639297225996</v>
      </c>
      <c r="AD101" s="15" t="n">
        <f aca="false">AD96*Исходные!$C$31*(AD94-AD100)</f>
        <v>0.264109874046865</v>
      </c>
      <c r="AE101" s="15" t="n">
        <f aca="false">AE96*Исходные!$C$31*(AE94-AE100)</f>
        <v>0.188101533543291</v>
      </c>
      <c r="AF101" s="15" t="n">
        <f aca="false">AF96*Исходные!$C$31*(AF94-AF100)</f>
        <v>0.157997232833025</v>
      </c>
      <c r="AG101" s="15" t="n">
        <f aca="false">AG96*Исходные!$C$31*(AG94-AG100)</f>
        <v>0.131664360694187</v>
      </c>
      <c r="AH101" s="15" t="n">
        <f aca="false">AH96*Исходные!$C$31*(AH94-AH100)</f>
        <v>0.105331488555349</v>
      </c>
      <c r="AI101" s="15" t="n">
        <f aca="false">AI96*Исходные!$C$31*(AI94-AI100)</f>
        <v>0.0789986164165108</v>
      </c>
      <c r="AJ101" s="15" t="n">
        <f aca="false">AJ96*Исходные!$C$31*(AJ94-AJ100)</f>
        <v>0.0526657442776726</v>
      </c>
      <c r="AK101" s="15" t="n">
        <f aca="false">AK96*Исходные!$C$31*(AK94-AK100)</f>
        <v>0.0263328721388344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1344.37394590015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14.8072066839677</v>
      </c>
      <c r="J102" s="15" t="n">
        <f aca="false">J73-J74-J97-J101</f>
        <v>42.3106943305316</v>
      </c>
      <c r="K102" s="15" t="n">
        <f aca="false">K73-K74-K97-K101</f>
        <v>64.0580422821706</v>
      </c>
      <c r="L102" s="15" t="n">
        <f aca="false">L73-L74-L97-L101</f>
        <v>64.072737070161</v>
      </c>
      <c r="M102" s="15" t="n">
        <f aca="false">M73-M74-M97-M101</f>
        <v>64.0874318581513</v>
      </c>
      <c r="N102" s="15" t="n">
        <f aca="false">N73-N74-N97-N101</f>
        <v>64.0069837889988</v>
      </c>
      <c r="O102" s="15" t="n">
        <f aca="false">O73-O74-O97-O101</f>
        <v>63.4320772380635</v>
      </c>
      <c r="P102" s="15" t="n">
        <f aca="false">P73-P74-P97-P101</f>
        <v>61.0542063004982</v>
      </c>
      <c r="Q102" s="15" t="n">
        <f aca="false">Q73-Q74-Q97-Q101</f>
        <v>61.0517493780875</v>
      </c>
      <c r="R102" s="15" t="n">
        <f aca="false">R73-R74-R97-R101</f>
        <v>61.148206741391</v>
      </c>
      <c r="S102" s="15" t="n">
        <f aca="false">S73-S74-S97-S101</f>
        <v>61.2446641046946</v>
      </c>
      <c r="T102" s="15" t="n">
        <f aca="false">T73-T74-T97-T101</f>
        <v>61.3411214679982</v>
      </c>
      <c r="U102" s="15" t="n">
        <f aca="false">U73-U74-U97-U101</f>
        <v>61.4526580174798</v>
      </c>
      <c r="V102" s="15" t="n">
        <f aca="false">V73-V74-V97-V101</f>
        <v>57.2474735092627</v>
      </c>
      <c r="W102" s="15" t="n">
        <f aca="false">W73-W74-W97-W101</f>
        <v>52.7102747311975</v>
      </c>
      <c r="X102" s="15" t="n">
        <f aca="false">X73-X74-X97-X101</f>
        <v>48.6659549113104</v>
      </c>
      <c r="Y102" s="15" t="n">
        <f aca="false">Y73-Y74-Y97-Y101</f>
        <v>44.8994485086402</v>
      </c>
      <c r="Z102" s="15" t="n">
        <f aca="false">Z73-Z74-Z97-Z101</f>
        <v>41.4008809967192</v>
      </c>
      <c r="AA102" s="15" t="n">
        <f aca="false">AA73-AA74-AA97-AA101</f>
        <v>38.1517007412008</v>
      </c>
      <c r="AB102" s="15" t="n">
        <f aca="false">AB73-AB74-AB97-AB101</f>
        <v>35.1346405914352</v>
      </c>
      <c r="AC102" s="15" t="n">
        <f aca="false">AC73-AC74-AC97-AC101</f>
        <v>32.3336289449971</v>
      </c>
      <c r="AD102" s="15" t="n">
        <f aca="false">AD73-AD74-AD97-AD101</f>
        <v>29.7299355413827</v>
      </c>
      <c r="AE102" s="15" t="n">
        <f aca="false">AE73-AE74-AE97-AE101</f>
        <v>27.2898876187068</v>
      </c>
      <c r="AF102" s="15" t="n">
        <f aca="false">AF73-AF74-AF97-AF101</f>
        <v>24.9781431244388</v>
      </c>
      <c r="AG102" s="15" t="n">
        <f aca="false">AG73-AG74-AG97-AG101</f>
        <v>22.8247728401739</v>
      </c>
      <c r="AH102" s="15" t="n">
        <f aca="false">AH73-AH74-AH97-AH101</f>
        <v>20.8223215054827</v>
      </c>
      <c r="AI102" s="15" t="n">
        <f aca="false">AI73-AI74-AI97-AI101</f>
        <v>18.9603397482689</v>
      </c>
      <c r="AJ102" s="15" t="n">
        <f aca="false">AJ73-AJ74-AJ97-AJ101</f>
        <v>17.2291016932372</v>
      </c>
      <c r="AK102" s="15" t="n">
        <f aca="false">AK73-AK74-AK97-AK101</f>
        <v>15.6195548682018</v>
      </c>
      <c r="AL102" s="15" t="n">
        <f aca="false">AL73-AL74-AL97-AL101</f>
        <v>14.1232735787973</v>
      </c>
      <c r="AM102" s="15" t="n">
        <f aca="false">AM73-AM74-AM97-AM101</f>
        <v>12.7060826393063</v>
      </c>
      <c r="AN102" s="15" t="n">
        <f aca="false">AN73-AN74-AN97-AN101</f>
        <v>11.3870155967804</v>
      </c>
      <c r="AO102" s="15" t="n">
        <f aca="false">AO73-AO74-AO97-AO101</f>
        <v>10.1592785190206</v>
      </c>
      <c r="AP102" s="15" t="n">
        <f aca="false">AP73-AP74-AP97-AP101</f>
        <v>9.01654787417061</v>
      </c>
      <c r="AQ102" s="15" t="n">
        <f aca="false">AQ73-AQ74-AQ97-AQ101</f>
        <v>7.95293796099438</v>
      </c>
      <c r="AR102" s="15" t="n">
        <f aca="false">AR73-AR74-AR97-AR101</f>
        <v>6.96297059422683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232.4029881559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4.7015084966579</v>
      </c>
      <c r="K103" s="15" t="n">
        <f aca="false">MAX(0,K102-K99)*Исходные!$C$30</f>
        <v>10.1383454845677</v>
      </c>
      <c r="L103" s="15" t="n">
        <f aca="false">MAX(0,L102-L99)*Исходные!$C$30</f>
        <v>10.1420191815652</v>
      </c>
      <c r="M103" s="15" t="n">
        <f aca="false">MAX(0,M102-M99)*Исходные!$C$30</f>
        <v>10.1456928785628</v>
      </c>
      <c r="N103" s="15" t="n">
        <f aca="false">MAX(0,N102-N99)*Исходные!$C$30</f>
        <v>10.1255808612747</v>
      </c>
      <c r="O103" s="15" t="n">
        <f aca="false">MAX(0,O102-O99)*Исходные!$C$30</f>
        <v>9.93899708068374</v>
      </c>
      <c r="P103" s="15" t="n">
        <f aca="false">MAX(0,P102-P99)*Исходные!$C$30</f>
        <v>9.07724431588835</v>
      </c>
      <c r="Q103" s="15" t="n">
        <f aca="false">MAX(0,Q102-Q99)*Исходные!$C$30</f>
        <v>8.55499326945263</v>
      </c>
      <c r="R103" s="15" t="n">
        <f aca="false">MAX(0,R102-R99)*Исходные!$C$30</f>
        <v>8.53625046742138</v>
      </c>
      <c r="S103" s="15" t="n">
        <f aca="false">MAX(0,S102-S99)*Исходные!$C$30</f>
        <v>8.56036480824727</v>
      </c>
      <c r="T103" s="15" t="n">
        <f aca="false">MAX(0,T102-T99)*Исходные!$C$30</f>
        <v>8.58447914907316</v>
      </c>
      <c r="U103" s="15" t="n">
        <f aca="false">MAX(0,U102-U99)*Исходные!$C$30</f>
        <v>8.61236328644356</v>
      </c>
      <c r="V103" s="15" t="n">
        <f aca="false">MAX(0,V102-V99)*Исходные!$C$30</f>
        <v>7.56106715938928</v>
      </c>
      <c r="W103" s="15" t="n">
        <f aca="false">MAX(0,W102-W99)*Исходные!$C$30</f>
        <v>6.42676746487298</v>
      </c>
      <c r="X103" s="15" t="n">
        <f aca="false">MAX(0,X102-X99)*Исходные!$C$30</f>
        <v>10.8783296981946</v>
      </c>
      <c r="Y103" s="15" t="n">
        <f aca="false">MAX(0,Y102-Y99)*Исходные!$C$30</f>
        <v>10.0509888118128</v>
      </c>
      <c r="Z103" s="15" t="n">
        <f aca="false">MAX(0,Z102-Z99)*Исходные!$C$30</f>
        <v>9.17634693383253</v>
      </c>
      <c r="AA103" s="15" t="n">
        <f aca="false">MAX(0,AA102-AA99)*Исходные!$C$30</f>
        <v>8.36405186995293</v>
      </c>
      <c r="AB103" s="15" t="n">
        <f aca="false">MAX(0,AB102-AB99)*Исходные!$C$30</f>
        <v>7.60978683251154</v>
      </c>
      <c r="AC103" s="15" t="n">
        <f aca="false">MAX(0,AC102-AC99)*Исходные!$C$30</f>
        <v>6.90953392090202</v>
      </c>
      <c r="AD103" s="15" t="n">
        <f aca="false">MAX(0,AD102-AD99)*Исходные!$C$30</f>
        <v>6.30146771285555</v>
      </c>
      <c r="AE103" s="15" t="n">
        <f aca="false">MAX(0,AE102-AE99)*Исходные!$C$30</f>
        <v>5.95874076259064</v>
      </c>
      <c r="AF103" s="15" t="n">
        <f aca="false">MAX(0,AF102-AF99)*Исходные!$C$30</f>
        <v>5.90244145485667</v>
      </c>
      <c r="AG103" s="15" t="n">
        <f aca="false">MAX(0,AG102-AG99)*Исходные!$C$30</f>
        <v>5.4069560266476</v>
      </c>
      <c r="AH103" s="15" t="n">
        <f aca="false">MAX(0,AH102-AH99)*Исходные!$C$30</f>
        <v>4.90634319297479</v>
      </c>
      <c r="AI103" s="15" t="n">
        <f aca="false">MAX(0,AI102-AI99)*Исходные!$C$30</f>
        <v>4.44084775367133</v>
      </c>
      <c r="AJ103" s="15" t="n">
        <f aca="false">MAX(0,AJ102-AJ99)*Исходные!$C$30</f>
        <v>4.00803823991341</v>
      </c>
      <c r="AK103" s="15" t="n">
        <f aca="false">MAX(0,AK102-AK99)*Исходные!$C$30</f>
        <v>3.60565153365457</v>
      </c>
      <c r="AL103" s="15" t="n">
        <f aca="false">MAX(0,AL102-AL99)*Исходные!$C$30</f>
        <v>3.23158121130344</v>
      </c>
      <c r="AM103" s="15" t="n">
        <f aca="false">MAX(0,AM102-AM99)*Исходные!$C$30</f>
        <v>3.17652065982658</v>
      </c>
      <c r="AN103" s="15" t="n">
        <f aca="false">MAX(0,AN102-AN99)*Исходные!$C$30</f>
        <v>2.84675389919509</v>
      </c>
      <c r="AO103" s="15" t="n">
        <f aca="false">MAX(0,AO102-AO99)*Исходные!$C$30</f>
        <v>2.53981962975515</v>
      </c>
      <c r="AP103" s="15" t="n">
        <f aca="false">MAX(0,AP102-AP99)*Исходные!$C$30</f>
        <v>2.25413696854265</v>
      </c>
      <c r="AQ103" s="15" t="n">
        <f aca="false">MAX(0,AQ102-AQ99)*Исходные!$C$30</f>
        <v>1.9882344902486</v>
      </c>
      <c r="AR103" s="15" t="n">
        <f aca="false">MAX(0,AR102-AR99)*Исходные!$C$30</f>
        <v>1.74074264855671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688.96865366491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-138.839329512733</v>
      </c>
      <c r="H105" s="15" t="n">
        <f aca="false">H102-H103-H93</f>
        <v>-114.974571490772</v>
      </c>
      <c r="I105" s="15" t="n">
        <f aca="false">I102-I103-I93</f>
        <v>7.9500638268248</v>
      </c>
      <c r="J105" s="15" t="n">
        <f aca="false">J102-J103-J93</f>
        <v>37.6091858338737</v>
      </c>
      <c r="K105" s="15" t="n">
        <f aca="false">K102-K103-K93</f>
        <v>53.919696797603</v>
      </c>
      <c r="L105" s="15" t="n">
        <f aca="false">L102-L103-L93</f>
        <v>53.9307178885957</v>
      </c>
      <c r="M105" s="15" t="n">
        <f aca="false">M102-M103-M93</f>
        <v>53.9417389795885</v>
      </c>
      <c r="N105" s="15" t="n">
        <f aca="false">N102-N103-N93</f>
        <v>51.3099743562955</v>
      </c>
      <c r="O105" s="15" t="n">
        <f aca="false">O102-O103-O93</f>
        <v>37.4559783331366</v>
      </c>
      <c r="P105" s="15" t="n">
        <f aca="false">P102-P103-P93</f>
        <v>20.6787530346273</v>
      </c>
      <c r="Q105" s="15" t="n">
        <f aca="false">Q102-Q103-Q93</f>
        <v>49.9253275372063</v>
      </c>
      <c r="R105" s="15" t="n">
        <f aca="false">R102-R103-R93</f>
        <v>52.6119562739697</v>
      </c>
      <c r="S105" s="15" t="n">
        <f aca="false">S102-S103-S93</f>
        <v>52.6842992964474</v>
      </c>
      <c r="T105" s="15" t="n">
        <f aca="false">T102-T103-T93</f>
        <v>52.756642318925</v>
      </c>
      <c r="U105" s="15" t="n">
        <f aca="false">U102-U103-U93</f>
        <v>52.8402947310362</v>
      </c>
      <c r="V105" s="15" t="n">
        <f aca="false">V102-V103-V93</f>
        <v>49.6864063498734</v>
      </c>
      <c r="W105" s="15" t="n">
        <f aca="false">W102-W103-W93</f>
        <v>28.3292762625716</v>
      </c>
      <c r="X105" s="15" t="n">
        <f aca="false">X102-X103-X93</f>
        <v>37.7876252131158</v>
      </c>
      <c r="Y105" s="15" t="n">
        <f aca="false">Y102-Y103-Y93</f>
        <v>34.8484596968274</v>
      </c>
      <c r="Z105" s="15" t="n">
        <f aca="false">Z102-Z103-Z93</f>
        <v>32.2245340628867</v>
      </c>
      <c r="AA105" s="15" t="n">
        <f aca="false">AA102-AA103-AA93</f>
        <v>29.7876488712478</v>
      </c>
      <c r="AB105" s="15" t="n">
        <f aca="false">AB102-AB103-AB93</f>
        <v>27.5248537589237</v>
      </c>
      <c r="AC105" s="15" t="n">
        <f aca="false">AC102-AC103-AC93</f>
        <v>25.4240950240951</v>
      </c>
      <c r="AD105" s="15" t="n">
        <f aca="false">AD102-AD103-AD93</f>
        <v>23.4284678285271</v>
      </c>
      <c r="AE105" s="15" t="n">
        <f aca="false">AE102-AE103-AE93</f>
        <v>21.3311468561162</v>
      </c>
      <c r="AF105" s="15" t="n">
        <f aca="false">AF102-AF103-AF93</f>
        <v>19.0757016695821</v>
      </c>
      <c r="AG105" s="15" t="n">
        <f aca="false">AG102-AG103-AG93</f>
        <v>17.4178168135263</v>
      </c>
      <c r="AH105" s="15" t="n">
        <f aca="false">AH102-AH103-AH93</f>
        <v>15.9159783125079</v>
      </c>
      <c r="AI105" s="15" t="n">
        <f aca="false">AI102-AI103-AI93</f>
        <v>14.5194919945975</v>
      </c>
      <c r="AJ105" s="15" t="n">
        <f aca="false">AJ102-AJ103-AJ93</f>
        <v>13.2210634533238</v>
      </c>
      <c r="AK105" s="15" t="n">
        <f aca="false">AK102-AK103-AK93</f>
        <v>12.0139033345472</v>
      </c>
      <c r="AL105" s="15" t="n">
        <f aca="false">AL102-AL103-AL93</f>
        <v>10.8916923674938</v>
      </c>
      <c r="AM105" s="15" t="n">
        <f aca="false">AM102-AM103-AM93</f>
        <v>9.52956197947975</v>
      </c>
      <c r="AN105" s="15" t="n">
        <f aca="false">AN102-AN103-AN93</f>
        <v>8.54026169758527</v>
      </c>
      <c r="AO105" s="15" t="n">
        <f aca="false">AO102-AO103-AO93</f>
        <v>7.61945888926546</v>
      </c>
      <c r="AP105" s="15" t="n">
        <f aca="false">AP102-AP103-AP93</f>
        <v>6.76241090562796</v>
      </c>
      <c r="AQ105" s="15" t="n">
        <f aca="false">AQ102-AQ103-AQ93</f>
        <v>5.96470347074579</v>
      </c>
      <c r="AR105" s="15" t="n">
        <f aca="false">AR102-AR103-AR93</f>
        <v>5.22222794567013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-9.37973474041574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-109.403393889531</v>
      </c>
      <c r="H107" s="15" t="n">
        <f aca="false">H105*H106</f>
        <v>-82.3620981449989</v>
      </c>
      <c r="I107" s="15" t="n">
        <f aca="false">I105*I106</f>
        <v>5.17730239805484</v>
      </c>
      <c r="J107" s="15" t="n">
        <f aca="false">J105*J106</f>
        <v>22.2655877359246</v>
      </c>
      <c r="K107" s="15" t="n">
        <f aca="false">K105*K106</f>
        <v>29.0198382782076</v>
      </c>
      <c r="L107" s="15" t="n">
        <f aca="false">L105*L106</f>
        <v>26.3870635290951</v>
      </c>
      <c r="M107" s="15" t="n">
        <f aca="false">M105*M106</f>
        <v>23.993141723803</v>
      </c>
      <c r="N107" s="15" t="n">
        <f aca="false">N105*N106</f>
        <v>20.7477634854277</v>
      </c>
      <c r="O107" s="15" t="n">
        <f aca="false">O105*O106</f>
        <v>13.7688589494202</v>
      </c>
      <c r="P107" s="15" t="n">
        <f aca="false">P105*P106</f>
        <v>6.91048402210214</v>
      </c>
      <c r="Q107" s="15" t="n">
        <f aca="false">Q105*Q106</f>
        <v>15.167442537686</v>
      </c>
      <c r="R107" s="15" t="n">
        <f aca="false">R105*R106</f>
        <v>14.5305883978972</v>
      </c>
      <c r="S107" s="15" t="n">
        <f aca="false">S105*S106</f>
        <v>13.2277894491215</v>
      </c>
      <c r="T107" s="15" t="n">
        <f aca="false">T105*T106</f>
        <v>12.0417755290662</v>
      </c>
      <c r="U107" s="15" t="n">
        <f aca="false">U105*U106</f>
        <v>10.9644266419714</v>
      </c>
      <c r="V107" s="15" t="n">
        <f aca="false">V105*V106</f>
        <v>9.37271899477099</v>
      </c>
      <c r="W107" s="15" t="n">
        <f aca="false">W105*W106</f>
        <v>4.8581487050568</v>
      </c>
      <c r="X107" s="15" t="n">
        <f aca="false">X105*X106</f>
        <v>5.89104362294737</v>
      </c>
      <c r="Y107" s="15" t="n">
        <f aca="false">Y105*Y106</f>
        <v>4.93893762378824</v>
      </c>
      <c r="Z107" s="15" t="n">
        <f aca="false">Z105*Z106</f>
        <v>4.15187161464351</v>
      </c>
      <c r="AA107" s="15" t="n">
        <f aca="false">AA105*AA106</f>
        <v>3.48899871739591</v>
      </c>
      <c r="AB107" s="15" t="n">
        <f aca="false">AB105*AB106</f>
        <v>2.93087245279797</v>
      </c>
      <c r="AC107" s="15" t="n">
        <f aca="false">AC105*AC106</f>
        <v>2.46107425132856</v>
      </c>
      <c r="AD107" s="15" t="n">
        <f aca="false">AD105*AD106</f>
        <v>2.06172347588961</v>
      </c>
      <c r="AE107" s="15" t="n">
        <f aca="false">AE105*AE106</f>
        <v>1.7065069013392</v>
      </c>
      <c r="AF107" s="15" t="n">
        <f aca="false">AF105*AF106</f>
        <v>1.38733607657497</v>
      </c>
      <c r="AG107" s="15" t="n">
        <f aca="false">AG105*AG106</f>
        <v>1.15160141987482</v>
      </c>
      <c r="AH107" s="15" t="n">
        <f aca="false">AH105*AH106</f>
        <v>0.956641300613891</v>
      </c>
      <c r="AI107" s="15" t="n">
        <f aca="false">AI105*AI106</f>
        <v>0.793367716462362</v>
      </c>
      <c r="AJ107" s="15" t="n">
        <f aca="false">AJ105*AJ106</f>
        <v>0.65674504847254</v>
      </c>
      <c r="AK107" s="15" t="n">
        <f aca="false">AK105*AK106</f>
        <v>0.542527635792351</v>
      </c>
      <c r="AL107" s="15" t="n">
        <f aca="false">AL105*AL106</f>
        <v>0.447136799102809</v>
      </c>
      <c r="AM107" s="15" t="n">
        <f aca="false">AM105*AM106</f>
        <v>0.355652037483456</v>
      </c>
      <c r="AN107" s="15" t="n">
        <f aca="false">AN105*AN106</f>
        <v>0.289754944563659</v>
      </c>
      <c r="AO107" s="15" t="n">
        <f aca="false">AO105*AO106</f>
        <v>0.235012586290741</v>
      </c>
      <c r="AP107" s="15" t="n">
        <f aca="false">AP105*AP106</f>
        <v>0.189616385146734</v>
      </c>
      <c r="AQ107" s="15" t="n">
        <f aca="false">AQ105*AQ106</f>
        <v>0.152044417614128</v>
      </c>
      <c r="AR107" s="15" t="n">
        <f aca="false">AR105*AR106</f>
        <v>0.121016548058989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-190.360048549204</v>
      </c>
      <c r="H108" s="15" t="n">
        <f aca="false">G108+H107</f>
        <v>-272.722146694203</v>
      </c>
      <c r="I108" s="15" t="n">
        <f aca="false">H108+I107</f>
        <v>-267.544844296148</v>
      </c>
      <c r="J108" s="15" t="n">
        <f aca="false">I108+J107</f>
        <v>-245.279256560223</v>
      </c>
      <c r="K108" s="15" t="n">
        <f aca="false">J108+K107</f>
        <v>-216.259418282016</v>
      </c>
      <c r="L108" s="15" t="n">
        <f aca="false">K108+L107</f>
        <v>-189.872354752921</v>
      </c>
      <c r="M108" s="15" t="n">
        <f aca="false">L108+M107</f>
        <v>-165.879213029118</v>
      </c>
      <c r="N108" s="15" t="n">
        <f aca="false">M108+N107</f>
        <v>-145.13144954369</v>
      </c>
      <c r="O108" s="15" t="n">
        <f aca="false">N108+O107</f>
        <v>-131.36259059427</v>
      </c>
      <c r="P108" s="15" t="n">
        <f aca="false">O108+P107</f>
        <v>-124.452106572168</v>
      </c>
      <c r="Q108" s="15" t="n">
        <f aca="false">P108+Q107</f>
        <v>-109.284664034482</v>
      </c>
      <c r="R108" s="15" t="n">
        <f aca="false">Q108+R107</f>
        <v>-94.7540756365844</v>
      </c>
      <c r="S108" s="15" t="n">
        <f aca="false">R108+S107</f>
        <v>-81.5262861874629</v>
      </c>
      <c r="T108" s="15" t="n">
        <f aca="false">S108+T107</f>
        <v>-69.4845106583967</v>
      </c>
      <c r="U108" s="15" t="n">
        <f aca="false">T108+U107</f>
        <v>-58.5200840164253</v>
      </c>
      <c r="V108" s="15" t="n">
        <f aca="false">U108+V107</f>
        <v>-49.1473650216543</v>
      </c>
      <c r="W108" s="15" t="n">
        <f aca="false">V108+W107</f>
        <v>-44.2892163165975</v>
      </c>
      <c r="X108" s="15" t="n">
        <f aca="false">W108+X107</f>
        <v>-38.3981726936502</v>
      </c>
      <c r="Y108" s="15" t="n">
        <f aca="false">X108+Y107</f>
        <v>-33.4592350698619</v>
      </c>
      <c r="Z108" s="15" t="n">
        <f aca="false">Y108+Z107</f>
        <v>-29.3073634552184</v>
      </c>
      <c r="AA108" s="15" t="n">
        <f aca="false">Z108+AA107</f>
        <v>-25.8183647378225</v>
      </c>
      <c r="AB108" s="15" t="n">
        <f aca="false">AA108+AB107</f>
        <v>-22.8874922850246</v>
      </c>
      <c r="AC108" s="15" t="n">
        <f aca="false">AB108+AC107</f>
        <v>-20.426418033696</v>
      </c>
      <c r="AD108" s="15" t="n">
        <f aca="false">AC108+AD107</f>
        <v>-18.3646945578064</v>
      </c>
      <c r="AE108" s="15" t="n">
        <f aca="false">AD108+AE107</f>
        <v>-16.6581876564672</v>
      </c>
      <c r="AF108" s="15" t="n">
        <f aca="false">AE108+AF107</f>
        <v>-15.2708515798922</v>
      </c>
      <c r="AG108" s="15" t="n">
        <f aca="false">AF108+AG107</f>
        <v>-14.1192501600174</v>
      </c>
      <c r="AH108" s="15" t="n">
        <f aca="false">AG108+AH107</f>
        <v>-13.1626088594035</v>
      </c>
      <c r="AI108" s="15" t="n">
        <f aca="false">AH108+AI107</f>
        <v>-12.3692411429411</v>
      </c>
      <c r="AJ108" s="15" t="n">
        <f aca="false">AI108+AJ107</f>
        <v>-11.7124960944686</v>
      </c>
      <c r="AK108" s="15" t="n">
        <f aca="false">AJ108+AK107</f>
        <v>-11.1699684586762</v>
      </c>
      <c r="AL108" s="15" t="n">
        <f aca="false">AK108+AL107</f>
        <v>-10.7228316595734</v>
      </c>
      <c r="AM108" s="15" t="n">
        <f aca="false">AL108+AM107</f>
        <v>-10.36717962209</v>
      </c>
      <c r="AN108" s="15" t="n">
        <f aca="false">AM108+AN107</f>
        <v>-10.0774246775263</v>
      </c>
      <c r="AO108" s="15" t="n">
        <f aca="false">AN108+AO107</f>
        <v>-9.84241209123558</v>
      </c>
      <c r="AP108" s="15" t="n">
        <f aca="false">AO108+AP107</f>
        <v>-9.65279570608885</v>
      </c>
      <c r="AQ108" s="15" t="n">
        <f aca="false">AP108+AQ107</f>
        <v>-9.50075128847472</v>
      </c>
      <c r="AR108" s="15" t="n">
        <f aca="false">AQ108+AR107</f>
        <v>-9.37973474041573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0</v>
      </c>
      <c r="AB109" s="40" t="n">
        <f aca="false">IF(OR(AA109=1,AND(AB108&gt;0,AB46&gt;2031)),1,0)</f>
        <v>0</v>
      </c>
      <c r="AC109" s="40" t="n">
        <f aca="false">IF(OR(AB109=1,AND(AC108&gt;0,AC46&gt;2031)),1,0)</f>
        <v>0</v>
      </c>
      <c r="AD109" s="40" t="n">
        <f aca="false">IF(OR(AC109=1,AND(AD108&gt;0,AD46&gt;2031)),1,0)</f>
        <v>0</v>
      </c>
      <c r="AE109" s="40" t="n">
        <f aca="false">IF(OR(AD109=1,AND(AE108&gt;0,AE46&gt;2031)),1,0)</f>
        <v>0</v>
      </c>
      <c r="AF109" s="40" t="n">
        <f aca="false">IF(OR(AE109=1,AND(AF108&gt;0,AF46&gt;2031)),1,0)</f>
        <v>0</v>
      </c>
      <c r="AG109" s="40" t="n">
        <f aca="false">IF(OR(AF109=1,AND(AG108&gt;0,AG46&gt;2031)),1,0)</f>
        <v>0</v>
      </c>
      <c r="AH109" s="40" t="n">
        <f aca="false">IF(OR(AG109=1,AND(AH108&gt;0,AH46&gt;2031)),1,0)</f>
        <v>0</v>
      </c>
      <c r="AI109" s="40" t="n">
        <f aca="false">IF(OR(AH109=1,AND(AI108&gt;0,AI46&gt;2031)),1,0)</f>
        <v>0</v>
      </c>
      <c r="AJ109" s="40" t="n">
        <f aca="false">IF(OR(AI109=1,AND(AJ108&gt;0,AJ46&gt;2031)),1,0)</f>
        <v>0</v>
      </c>
      <c r="AK109" s="40" t="n">
        <f aca="false">IF(OR(AJ109=1,AND(AK108&gt;0,AK46&gt;2031)),1,0)</f>
        <v>0</v>
      </c>
      <c r="AL109" s="40" t="n">
        <f aca="false">IF(OR(AK109=1,AND(AL108&gt;0,AL46&gt;2031)),1,0)</f>
        <v>0</v>
      </c>
      <c r="AM109" s="40" t="n">
        <f aca="false">IF(OR(AL109=1,AND(AM108&gt;0,AM46&gt;2031)),1,0)</f>
        <v>0</v>
      </c>
      <c r="AN109" s="40" t="n">
        <f aca="false">IF(OR(AM109=1,AND(AN108&gt;0,AN46&gt;2031)),1,0)</f>
        <v>0</v>
      </c>
      <c r="AO109" s="40" t="n">
        <f aca="false">IF(OR(AN109=1,AND(AO108&gt;0,AO46&gt;2031)),1,0)</f>
        <v>0</v>
      </c>
      <c r="AP109" s="40" t="n">
        <f aca="false">IF(OR(AO109=1,AND(AP108&gt;0,AP46&gt;2031)),1,0)</f>
        <v>0</v>
      </c>
      <c r="AQ109" s="40" t="n">
        <f aca="false">IF(OR(AP109=1,AND(AQ108&gt;0,AQ46&gt;2031)),1,0)</f>
        <v>0</v>
      </c>
      <c r="AR109" s="40" t="n">
        <f aca="false">IF(OR(AQ109=1,AND(AR108&gt;0,AR46&gt;2031)),1,0)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415</v>
      </c>
    </row>
    <row r="3" customFormat="false" ht="15" hidden="false" customHeight="false" outlineLevel="0" collapsed="false">
      <c r="B3" s="2" t="s">
        <v>416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-75.2597325028052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0.0711248930001186</v>
      </c>
    </row>
    <row r="7" customFormat="false" ht="15" hidden="false" customHeight="false" outlineLevel="0" collapsed="false">
      <c r="B7" s="8" t="s">
        <v>32</v>
      </c>
      <c r="C7" s="40" t="str">
        <f aca="false">IF(SUM(E109:AR109)=0,"нет",2067-SUM(E109:AR109))</f>
        <v>нет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0.782100169062407</v>
      </c>
    </row>
    <row r="9" customFormat="false" ht="15" hidden="false" customHeight="false" outlineLevel="0" collapsed="false">
      <c r="B9" s="8" t="s">
        <v>34</v>
      </c>
      <c r="C9" s="41" t="n">
        <f aca="false">D93</f>
        <v>485.842175432342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Сценарии!$F$6</f>
        <v>C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Сценарии!$F$7</f>
        <v>C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Сценарии!$F$8</f>
        <v>0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Сценарии!$F$9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Сценарии!$F$10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Сценарии!$F$11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Сценарии!$F$12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Сценарии!$F$13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Сценарии!$F$14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Сценарии!$F$15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Сценарии!$F$16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Сценарии!$F$17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Сценарии!$F$18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Сценарии!$F$19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Сценарии!$F$20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Сценарии!$F$21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Сценарии!$F$22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Сценарии!$F$23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Сценарии!$F$24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33.1073872001476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77.8535266386051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58.4672194754621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905.942971485743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33.2726493787894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4733.01307808882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0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</v>
      </c>
      <c r="L59" s="54" t="n">
        <f aca="false">IF(AND($D$17=1,L46&gt;=Исходные!$C$42,L52&gt;0),$D$44,0)</f>
        <v>0</v>
      </c>
      <c r="M59" s="54" t="n">
        <f aca="false">IF(AND($D$17=1,M46&gt;=Исходные!$C$42,M52&gt;0),$D$44,0)</f>
        <v>0</v>
      </c>
      <c r="N59" s="54" t="n">
        <f aca="false">IF(AND($D$17=1,N46&gt;=Исходные!$C$42,N52&gt;0),$D$44,0)</f>
        <v>0</v>
      </c>
      <c r="O59" s="54" t="n">
        <f aca="false">IF(AND($D$17=1,O46&gt;=Исходные!$C$42,O52&gt;0),$D$44,0)</f>
        <v>0</v>
      </c>
      <c r="P59" s="54" t="n">
        <f aca="false">IF(AND($D$17=1,P46&gt;=Исходные!$C$42,P52&gt;0),$D$44,0)</f>
        <v>0</v>
      </c>
      <c r="Q59" s="54" t="n">
        <f aca="false">IF(AND($D$17=1,Q46&gt;=Исходные!$C$42,Q52&gt;0),$D$44,0)</f>
        <v>0</v>
      </c>
      <c r="R59" s="54" t="n">
        <f aca="false">IF(AND($D$17=1,R46&gt;=Исходные!$C$42,R52&gt;0),$D$44,0)</f>
        <v>0</v>
      </c>
      <c r="S59" s="54" t="n">
        <f aca="false">IF(AND($D$17=1,S46&gt;=Исходные!$C$42,S52&gt;0),$D$44,0)</f>
        <v>0</v>
      </c>
      <c r="T59" s="54" t="n">
        <f aca="false">IF(AND($D$17=1,T46&gt;=Исходные!$C$42,T52&gt;0),$D$44,0)</f>
        <v>0</v>
      </c>
      <c r="U59" s="54" t="n">
        <f aca="false">IF(AND($D$17=1,U46&gt;=Исходные!$C$42,U52&gt;0),$D$44,0)</f>
        <v>0</v>
      </c>
      <c r="V59" s="54" t="n">
        <f aca="false">IF(AND($D$17=1,V46&gt;=Исходные!$C$42,V52&gt;0),$D$44,0)</f>
        <v>0</v>
      </c>
      <c r="W59" s="54" t="n">
        <f aca="false">IF(AND($D$17=1,W46&gt;=Исходные!$C$42,W52&gt;0),$D$44,0)</f>
        <v>0</v>
      </c>
      <c r="X59" s="54" t="n">
        <f aca="false">IF(AND($D$17=1,X46&gt;=Исходные!$C$42,X52&gt;0),$D$44,0)</f>
        <v>0</v>
      </c>
      <c r="Y59" s="54" t="n">
        <f aca="false">IF(AND($D$17=1,Y46&gt;=Исходные!$C$42,Y52&gt;0),$D$44,0)</f>
        <v>0</v>
      </c>
      <c r="Z59" s="54" t="n">
        <f aca="false">IF(AND($D$17=1,Z46&gt;=Исходные!$C$42,Z52&gt;0),$D$44,0)</f>
        <v>0</v>
      </c>
      <c r="AA59" s="54" t="n">
        <f aca="false">IF(AND($D$17=1,AA46&gt;=Исходные!$C$42,AA52&gt;0),$D$44,0)</f>
        <v>0</v>
      </c>
      <c r="AB59" s="54" t="n">
        <f aca="false">IF(AND($D$17=1,AB46&gt;=Исходные!$C$42,AB52&gt;0),$D$44,0)</f>
        <v>0</v>
      </c>
      <c r="AC59" s="54" t="n">
        <f aca="false">IF(AND($D$17=1,AC46&gt;=Исходные!$C$42,AC52&gt;0),$D$44,0)</f>
        <v>0</v>
      </c>
      <c r="AD59" s="54" t="n">
        <f aca="false">IF(AND($D$17=1,AD46&gt;=Исходные!$C$42,AD52&gt;0),$D$44,0)</f>
        <v>0</v>
      </c>
      <c r="AE59" s="54" t="n">
        <f aca="false">IF(AND($D$17=1,AE46&gt;=Исходные!$C$42,AE52&gt;0),$D$44,0)</f>
        <v>0</v>
      </c>
      <c r="AF59" s="54" t="n">
        <f aca="false">IF(AND($D$17=1,AF46&gt;=Исходные!$C$42,AF52&gt;0),$D$44,0)</f>
        <v>0</v>
      </c>
      <c r="AG59" s="54" t="n">
        <f aca="false">IF(AND($D$17=1,AG46&gt;=Исходные!$C$42,AG52&gt;0),$D$44,0)</f>
        <v>0</v>
      </c>
      <c r="AH59" s="54" t="n">
        <f aca="false">IF(AND($D$17=1,AH46&gt;=Исходные!$C$42,AH52&gt;0),$D$44,0)</f>
        <v>0</v>
      </c>
      <c r="AI59" s="54" t="n">
        <f aca="false">IF(AND($D$17=1,AI46&gt;=Исходные!$C$42,AI52&gt;0),$D$44,0)</f>
        <v>0</v>
      </c>
      <c r="AJ59" s="54" t="n">
        <f aca="false">IF(AND($D$17=1,AJ46&gt;=Исходные!$C$42,AJ52&gt;0),$D$44,0)</f>
        <v>0</v>
      </c>
      <c r="AK59" s="54" t="n">
        <f aca="false">IF(AND($D$17=1,AK46&gt;=Исходные!$C$42,AK52&gt;0),$D$44,0)</f>
        <v>0</v>
      </c>
      <c r="AL59" s="54" t="n">
        <f aca="false">IF(AND($D$17=1,AL46&gt;=Исходные!$C$42,AL52&gt;0),$D$44,0)</f>
        <v>0</v>
      </c>
      <c r="AM59" s="54" t="n">
        <f aca="false">IF(AND($D$17=1,AM46&gt;=Исходные!$C$42,AM52&gt;0),$D$44,0)</f>
        <v>0</v>
      </c>
      <c r="AN59" s="54" t="n">
        <f aca="false">IF(AND($D$17=1,AN46&gt;=Исходные!$C$42,AN52&gt;0),$D$44,0)</f>
        <v>0</v>
      </c>
      <c r="AO59" s="54" t="n">
        <f aca="false">IF(AND($D$17=1,AO46&gt;=Исходные!$C$42,AO52&gt;0),$D$44,0)</f>
        <v>0</v>
      </c>
      <c r="AP59" s="54" t="n">
        <f aca="false">IF(AND($D$17=1,AP46&gt;=Исходные!$C$42,AP52&gt;0),$D$44,0)</f>
        <v>0</v>
      </c>
      <c r="AQ59" s="54" t="n">
        <f aca="false">IF(AND($D$17=1,AQ46&gt;=Исходные!$C$42,AQ52&gt;0),$D$44,0)</f>
        <v>0</v>
      </c>
      <c r="AR59" s="54" t="n">
        <f aca="false">IF(AND($D$17=1,AR46&gt;=Исходные!$C$42,AR52&gt;0),$D$44,0)</f>
        <v>0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241.579838008004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3.80496048024012</v>
      </c>
      <c r="J60" s="15" t="n">
        <f aca="false">J58*$D$37/1000-J59</f>
        <v>7.60992096048024</v>
      </c>
      <c r="K60" s="15" t="n">
        <f aca="false">K58*$D$37/1000-K59</f>
        <v>10.6538893446723</v>
      </c>
      <c r="L60" s="15" t="n">
        <f aca="false">L58*$D$37/1000-L59</f>
        <v>10.6538893446723</v>
      </c>
      <c r="M60" s="15" t="n">
        <f aca="false">M58*$D$37/1000-M59</f>
        <v>10.6538893446723</v>
      </c>
      <c r="N60" s="15" t="n">
        <f aca="false">N58*$D$37/1000-N59</f>
        <v>10.6538893446723</v>
      </c>
      <c r="O60" s="15" t="n">
        <f aca="false">O58*$D$37/1000-O59</f>
        <v>10.6538893446723</v>
      </c>
      <c r="P60" s="15" t="n">
        <f aca="false">P58*$D$37/1000-P59</f>
        <v>10.4908196098049</v>
      </c>
      <c r="Q60" s="15" t="n">
        <f aca="false">Q58*$D$37/1000-Q59</f>
        <v>10.4908196098049</v>
      </c>
      <c r="R60" s="15" t="n">
        <f aca="false">R58*$D$37/1000-R59</f>
        <v>10.4908196098049</v>
      </c>
      <c r="S60" s="15" t="n">
        <f aca="false">S58*$D$37/1000-S59</f>
        <v>10.4908196098049</v>
      </c>
      <c r="T60" s="15" t="n">
        <f aca="false">T58*$D$37/1000-T59</f>
        <v>10.4908196098049</v>
      </c>
      <c r="U60" s="15" t="n">
        <f aca="false">U58*$D$37/1000-U59</f>
        <v>10.4908196098049</v>
      </c>
      <c r="V60" s="15" t="n">
        <f aca="false">V58*$D$37/1000-V59</f>
        <v>9.76445305341113</v>
      </c>
      <c r="W60" s="15" t="n">
        <f aca="false">W58*$D$37/1000-W59</f>
        <v>9.08837888539797</v>
      </c>
      <c r="X60" s="15" t="n">
        <f aca="false">X58*$D$37/1000-X59</f>
        <v>8.45911494609445</v>
      </c>
      <c r="Y60" s="15" t="n">
        <f aca="false">Y58*$D$37/1000-Y59</f>
        <v>7.87342017465914</v>
      </c>
      <c r="Z60" s="15" t="n">
        <f aca="false">Z58*$D$37/1000-Z59</f>
        <v>7.32827791580614</v>
      </c>
      <c r="AA60" s="15" t="n">
        <f aca="false">AA58*$D$37/1000-AA59</f>
        <v>6.82088038234501</v>
      </c>
      <c r="AB60" s="15" t="n">
        <f aca="false">AB58*$D$37/1000-AB59</f>
        <v>6.34861419350813</v>
      </c>
      <c r="AC60" s="15" t="n">
        <f aca="false">AC58*$D$37/1000-AC59</f>
        <v>5.90904691457968</v>
      </c>
      <c r="AD60" s="15" t="n">
        <f aca="false">AD58*$D$37/1000-AD59</f>
        <v>5.49991452849795</v>
      </c>
      <c r="AE60" s="15" t="n">
        <f aca="false">AE58*$D$37/1000-AE59</f>
        <v>5.11910977490258</v>
      </c>
      <c r="AF60" s="15" t="n">
        <f aca="false">AF58*$D$37/1000-AF59</f>
        <v>4.76467129656649</v>
      </c>
      <c r="AG60" s="15" t="n">
        <f aca="false">AG58*$D$37/1000-AG59</f>
        <v>4.43477353731033</v>
      </c>
      <c r="AH60" s="15" t="n">
        <f aca="false">AH58*$D$37/1000-AH59</f>
        <v>4.1277173393683</v>
      </c>
      <c r="AI60" s="15" t="n">
        <f aca="false">AI58*$D$37/1000-AI59</f>
        <v>3.8419211917764</v>
      </c>
      <c r="AJ60" s="15" t="n">
        <f aca="false">AJ58*$D$37/1000-AJ59</f>
        <v>3.57591308470736</v>
      </c>
      <c r="AK60" s="15" t="n">
        <f aca="false">AK58*$D$37/1000-AK59</f>
        <v>3.32832292779772</v>
      </c>
      <c r="AL60" s="15" t="n">
        <f aca="false">AL58*$D$37/1000-AL59</f>
        <v>3.09787549341696</v>
      </c>
      <c r="AM60" s="15" t="n">
        <f aca="false">AM58*$D$37/1000-AM59</f>
        <v>2.88338384853281</v>
      </c>
      <c r="AN60" s="15" t="n">
        <f aca="false">AN58*$D$37/1000-AN59</f>
        <v>2.68374324134301</v>
      </c>
      <c r="AO60" s="15" t="n">
        <f aca="false">AO58*$D$37/1000-AO59</f>
        <v>2.4979254111863</v>
      </c>
      <c r="AP60" s="15" t="n">
        <f aca="false">AP58*$D$37/1000-AP59</f>
        <v>2.32497329242561</v>
      </c>
      <c r="AQ60" s="15" t="n">
        <f aca="false">AQ58*$D$37/1000-AQ59</f>
        <v>2.16399608502531</v>
      </c>
      <c r="AR60" s="15" t="n">
        <f aca="false">AR58*$D$37/1000-AR59</f>
        <v>2.01416466643335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8.82845553022293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0.13905102624062</v>
      </c>
      <c r="J61" s="54" t="n">
        <f aca="false">J58*$D$34/1000</f>
        <v>0.27810205248124</v>
      </c>
      <c r="K61" s="54" t="n">
        <f aca="false">K58*$D$34/1000</f>
        <v>0.389342873473735</v>
      </c>
      <c r="L61" s="54" t="n">
        <f aca="false">L58*$D$34/1000</f>
        <v>0.389342873473735</v>
      </c>
      <c r="M61" s="54" t="n">
        <f aca="false">M58*$D$34/1000</f>
        <v>0.389342873473735</v>
      </c>
      <c r="N61" s="54" t="n">
        <f aca="false">N58*$D$34/1000</f>
        <v>0.389342873473735</v>
      </c>
      <c r="O61" s="54" t="n">
        <f aca="false">O58*$D$34/1000</f>
        <v>0.389342873473735</v>
      </c>
      <c r="P61" s="54" t="n">
        <f aca="false">P58*$D$34/1000</f>
        <v>0.383383543777709</v>
      </c>
      <c r="Q61" s="54" t="n">
        <f aca="false">Q58*$D$34/1000</f>
        <v>0.383383543777709</v>
      </c>
      <c r="R61" s="54" t="n">
        <f aca="false">R58*$D$34/1000</f>
        <v>0.383383543777709</v>
      </c>
      <c r="S61" s="54" t="n">
        <f aca="false">S58*$D$34/1000</f>
        <v>0.383383543777709</v>
      </c>
      <c r="T61" s="54" t="n">
        <f aca="false">T58*$D$34/1000</f>
        <v>0.383383543777709</v>
      </c>
      <c r="U61" s="54" t="n">
        <f aca="false">U58*$D$34/1000</f>
        <v>0.383383543777709</v>
      </c>
      <c r="V61" s="54" t="n">
        <f aca="false">V58*$D$34/1000</f>
        <v>0.356838717460079</v>
      </c>
      <c r="W61" s="54" t="n">
        <f aca="false">W58*$D$34/1000</f>
        <v>0.33213180989423</v>
      </c>
      <c r="X61" s="54" t="n">
        <f aca="false">X58*$D$34/1000</f>
        <v>0.309135566703066</v>
      </c>
      <c r="Y61" s="54" t="n">
        <f aca="false">Y58*$D$34/1000</f>
        <v>0.287731544386727</v>
      </c>
      <c r="Z61" s="54" t="n">
        <f aca="false">Z58*$D$34/1000</f>
        <v>0.267809500272394</v>
      </c>
      <c r="AA61" s="54" t="n">
        <f aca="false">AA58*$D$34/1000</f>
        <v>0.249266824702928</v>
      </c>
      <c r="AB61" s="54" t="n">
        <f aca="false">AB58*$D$34/1000</f>
        <v>0.23200801253982</v>
      </c>
      <c r="AC61" s="54" t="n">
        <f aca="false">AC58*$D$34/1000</f>
        <v>0.215944171258362</v>
      </c>
      <c r="AD61" s="54" t="n">
        <f aca="false">AD58*$D$34/1000</f>
        <v>0.200992563101489</v>
      </c>
      <c r="AE61" s="54" t="n">
        <f aca="false">AE58*$D$34/1000</f>
        <v>0.187076178934103</v>
      </c>
      <c r="AF61" s="54" t="n">
        <f aca="false">AF58*$D$34/1000</f>
        <v>0.174123341603008</v>
      </c>
      <c r="AG61" s="54" t="n">
        <f aca="false">AG58*$D$34/1000</f>
        <v>0.162067336759521</v>
      </c>
      <c r="AH61" s="54" t="n">
        <f aca="false">AH58*$D$34/1000</f>
        <v>0.150846069243311</v>
      </c>
      <c r="AI61" s="54" t="n">
        <f aca="false">AI58*$D$34/1000</f>
        <v>0.140401743257628</v>
      </c>
      <c r="AJ61" s="54" t="n">
        <f aca="false">AJ58*$D$34/1000</f>
        <v>0.130680564688661</v>
      </c>
      <c r="AK61" s="54" t="n">
        <f aca="false">AK58*$D$34/1000</f>
        <v>0.121632464035803</v>
      </c>
      <c r="AL61" s="54" t="n">
        <f aca="false">AL58*$D$34/1000</f>
        <v>0.113210838525742</v>
      </c>
      <c r="AM61" s="54" t="n">
        <f aca="false">AM58*$D$34/1000</f>
        <v>0.105372312082152</v>
      </c>
      <c r="AN61" s="54" t="n">
        <f aca="false">AN58*$D$34/1000</f>
        <v>0.0980765119146578</v>
      </c>
      <c r="AO61" s="54" t="n">
        <f aca="false">AO58*$D$34/1000</f>
        <v>0.0912858605764171</v>
      </c>
      <c r="AP61" s="54" t="n">
        <f aca="false">AP58*$D$34/1000</f>
        <v>0.0849653824192708</v>
      </c>
      <c r="AQ61" s="54" t="n">
        <f aca="false">AQ58*$D$34/1000</f>
        <v>0.0790825234496165</v>
      </c>
      <c r="AR61" s="54" t="n">
        <f aca="false">AR58*$D$34/1000</f>
        <v>0.0736069836571544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20.7605146744074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0.326984811882141</v>
      </c>
      <c r="J62" s="54" t="n">
        <f aca="false">J58*$D$35/1000</f>
        <v>0.653969623764283</v>
      </c>
      <c r="K62" s="54" t="n">
        <f aca="false">K58*$D$35/1000</f>
        <v>0.915557473269996</v>
      </c>
      <c r="L62" s="54" t="n">
        <f aca="false">L58*$D$35/1000</f>
        <v>0.915557473269996</v>
      </c>
      <c r="M62" s="54" t="n">
        <f aca="false">M58*$D$35/1000</f>
        <v>0.915557473269996</v>
      </c>
      <c r="N62" s="54" t="n">
        <f aca="false">N58*$D$35/1000</f>
        <v>0.915557473269996</v>
      </c>
      <c r="O62" s="54" t="n">
        <f aca="false">O58*$D$35/1000</f>
        <v>0.915557473269996</v>
      </c>
      <c r="P62" s="54" t="n">
        <f aca="false">P58*$D$35/1000</f>
        <v>0.901543838475047</v>
      </c>
      <c r="Q62" s="54" t="n">
        <f aca="false">Q58*$D$35/1000</f>
        <v>0.901543838475047</v>
      </c>
      <c r="R62" s="54" t="n">
        <f aca="false">R58*$D$35/1000</f>
        <v>0.901543838475047</v>
      </c>
      <c r="S62" s="54" t="n">
        <f aca="false">S58*$D$35/1000</f>
        <v>0.901543838475047</v>
      </c>
      <c r="T62" s="54" t="n">
        <f aca="false">T58*$D$35/1000</f>
        <v>0.901543838475047</v>
      </c>
      <c r="U62" s="54" t="n">
        <f aca="false">U58*$D$35/1000</f>
        <v>0.901543838475047</v>
      </c>
      <c r="V62" s="54" t="n">
        <f aca="false">V58*$D$35/1000</f>
        <v>0.839122472199803</v>
      </c>
      <c r="W62" s="54" t="n">
        <f aca="false">W58*$D$35/1000</f>
        <v>0.781023055453113</v>
      </c>
      <c r="X62" s="54" t="n">
        <f aca="false">X58*$D$35/1000</f>
        <v>0.726946343780042</v>
      </c>
      <c r="Y62" s="54" t="n">
        <f aca="false">Y58*$D$35/1000</f>
        <v>0.676613811904167</v>
      </c>
      <c r="Z62" s="54" t="n">
        <f aca="false">Z58*$D$35/1000</f>
        <v>0.629766219166803</v>
      </c>
      <c r="AA62" s="54" t="n">
        <f aca="false">AA58*$D$35/1000</f>
        <v>0.586162274292773</v>
      </c>
      <c r="AB62" s="54" t="n">
        <f aca="false">AB58*$D$35/1000</f>
        <v>0.545577392605545</v>
      </c>
      <c r="AC62" s="54" t="n">
        <f aca="false">AC58*$D$35/1000</f>
        <v>0.507802539290671</v>
      </c>
      <c r="AD62" s="54" t="n">
        <f aca="false">AD58*$D$35/1000</f>
        <v>0.472643152749714</v>
      </c>
      <c r="AE62" s="54" t="n">
        <f aca="false">AE58*$D$35/1000</f>
        <v>0.43991814249932</v>
      </c>
      <c r="AF62" s="54" t="n">
        <f aca="false">AF58*$D$35/1000</f>
        <v>0.409458956454053</v>
      </c>
      <c r="AG62" s="54" t="n">
        <f aca="false">AG58*$D$35/1000</f>
        <v>0.381108712788997</v>
      </c>
      <c r="AH62" s="54" t="n">
        <f aca="false">AH58*$D$35/1000</f>
        <v>0.354721391910704</v>
      </c>
      <c r="AI62" s="54" t="n">
        <f aca="false">AI58*$D$35/1000</f>
        <v>0.330161084374716</v>
      </c>
      <c r="AJ62" s="54" t="n">
        <f aca="false">AJ58*$D$35/1000</f>
        <v>0.307301290875993</v>
      </c>
      <c r="AK62" s="54" t="n">
        <f aca="false">AK58*$D$35/1000</f>
        <v>0.286024270706821</v>
      </c>
      <c r="AL62" s="54" t="n">
        <f aca="false">AL58*$D$35/1000</f>
        <v>0.266220435326392</v>
      </c>
      <c r="AM62" s="54" t="n">
        <f aca="false">AM58*$D$35/1000</f>
        <v>0.247787783918588</v>
      </c>
      <c r="AN62" s="54" t="n">
        <f aca="false">AN58*$D$35/1000</f>
        <v>0.230631378030799</v>
      </c>
      <c r="AO62" s="54" t="n">
        <f aca="false">AO58*$D$35/1000</f>
        <v>0.214662852587848</v>
      </c>
      <c r="AP62" s="54" t="n">
        <f aca="false">AP58*$D$35/1000</f>
        <v>0.199799960762488</v>
      </c>
      <c r="AQ62" s="54" t="n">
        <f aca="false">AQ58*$D$35/1000</f>
        <v>0.185966150358292</v>
      </c>
      <c r="AR62" s="54" t="n">
        <f aca="false">AR58*$D$35/1000</f>
        <v>0.173090169523076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15.5909387833722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0.245562321796941</v>
      </c>
      <c r="J63" s="54" t="n">
        <f aca="false">J58*$D$36/1000</f>
        <v>0.491124643593882</v>
      </c>
      <c r="K63" s="54" t="n">
        <f aca="false">K58*$D$36/1000</f>
        <v>0.687574501031434</v>
      </c>
      <c r="L63" s="54" t="n">
        <f aca="false">L58*$D$36/1000</f>
        <v>0.687574501031434</v>
      </c>
      <c r="M63" s="54" t="n">
        <f aca="false">M58*$D$36/1000</f>
        <v>0.687574501031434</v>
      </c>
      <c r="N63" s="54" t="n">
        <f aca="false">N58*$D$36/1000</f>
        <v>0.687574501031434</v>
      </c>
      <c r="O63" s="54" t="n">
        <f aca="false">O58*$D$36/1000</f>
        <v>0.687574501031434</v>
      </c>
      <c r="P63" s="54" t="n">
        <f aca="false">P58*$D$36/1000</f>
        <v>0.677050401525851</v>
      </c>
      <c r="Q63" s="54" t="n">
        <f aca="false">Q58*$D$36/1000</f>
        <v>0.677050401525851</v>
      </c>
      <c r="R63" s="54" t="n">
        <f aca="false">R58*$D$36/1000</f>
        <v>0.677050401525851</v>
      </c>
      <c r="S63" s="54" t="n">
        <f aca="false">S58*$D$36/1000</f>
        <v>0.677050401525851</v>
      </c>
      <c r="T63" s="54" t="n">
        <f aca="false">T58*$D$36/1000</f>
        <v>0.677050401525851</v>
      </c>
      <c r="U63" s="54" t="n">
        <f aca="false">U58*$D$36/1000</f>
        <v>0.677050401525851</v>
      </c>
      <c r="V63" s="54" t="n">
        <f aca="false">V58*$D$36/1000</f>
        <v>0.630172580063577</v>
      </c>
      <c r="W63" s="54" t="n">
        <f aca="false">W58*$D$36/1000</f>
        <v>0.586540499450281</v>
      </c>
      <c r="X63" s="54" t="n">
        <f aca="false">X58*$D$36/1000</f>
        <v>0.545929430094651</v>
      </c>
      <c r="Y63" s="54" t="n">
        <f aca="false">Y58*$D$36/1000</f>
        <v>0.508130202301119</v>
      </c>
      <c r="Z63" s="54" t="n">
        <f aca="false">Z58*$D$36/1000</f>
        <v>0.472948128929065</v>
      </c>
      <c r="AA63" s="54" t="n">
        <f aca="false">AA58*$D$36/1000</f>
        <v>0.44020200264528</v>
      </c>
      <c r="AB63" s="54" t="n">
        <f aca="false">AB58*$D$36/1000</f>
        <v>0.40972316260496</v>
      </c>
      <c r="AC63" s="54" t="n">
        <f aca="false">AC58*$D$36/1000</f>
        <v>0.381354625754133</v>
      </c>
      <c r="AD63" s="54" t="n">
        <f aca="false">AD58*$D$36/1000</f>
        <v>0.354950278279225</v>
      </c>
      <c r="AE63" s="54" t="n">
        <f aca="false">AE58*$D$36/1000</f>
        <v>0.330374123039292</v>
      </c>
      <c r="AF63" s="54" t="n">
        <f aca="false">AF58*$D$36/1000</f>
        <v>0.307499579104767</v>
      </c>
      <c r="AG63" s="54" t="n">
        <f aca="false">AG58*$D$36/1000</f>
        <v>0.28620882979495</v>
      </c>
      <c r="AH63" s="54" t="n">
        <f aca="false">AH58*$D$36/1000</f>
        <v>0.266392215856288</v>
      </c>
      <c r="AI63" s="54" t="n">
        <f aca="false">AI58*$D$36/1000</f>
        <v>0.24794767065595</v>
      </c>
      <c r="AJ63" s="54" t="n">
        <f aca="false">AJ58*$D$36/1000</f>
        <v>0.230780194481648</v>
      </c>
      <c r="AK63" s="54" t="n">
        <f aca="false">AK58*$D$36/1000</f>
        <v>0.214801365240046</v>
      </c>
      <c r="AL63" s="54" t="n">
        <f aca="false">AL58*$D$36/1000</f>
        <v>0.199928883033578</v>
      </c>
      <c r="AM63" s="54" t="n">
        <f aca="false">AM58*$D$36/1000</f>
        <v>0.186086146269996</v>
      </c>
      <c r="AN63" s="54" t="n">
        <f aca="false">AN58*$D$36/1000</f>
        <v>0.173201857121377</v>
      </c>
      <c r="AO63" s="54" t="n">
        <f aca="false">AO58*$D$36/1000</f>
        <v>0.161209654300477</v>
      </c>
      <c r="AP63" s="54" t="n">
        <f aca="false">AP58*$D$36/1000</f>
        <v>0.150047771263023</v>
      </c>
      <c r="AQ63" s="54" t="n">
        <f aca="false">AQ58*$D$36/1000</f>
        <v>0.139658718075508</v>
      </c>
      <c r="AR63" s="54" t="n">
        <f aca="false">AR58*$D$36/1000</f>
        <v>0.129988985309913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0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</v>
      </c>
      <c r="L64" s="54" t="n">
        <f aca="false">IF(L59&gt;0,Исходные!$C$39/1000,0)</f>
        <v>0</v>
      </c>
      <c r="M64" s="54" t="n">
        <f aca="false">IF(M59&gt;0,Исходные!$C$39/1000,0)</f>
        <v>0</v>
      </c>
      <c r="N64" s="54" t="n">
        <f aca="false">IF(N59&gt;0,Исходные!$C$39/1000,0)</f>
        <v>0</v>
      </c>
      <c r="O64" s="54" t="n">
        <f aca="false">IF(O59&gt;0,Исходные!$C$39/1000,0)</f>
        <v>0</v>
      </c>
      <c r="P64" s="54" t="n">
        <f aca="false">IF(P59&gt;0,Исходные!$C$39/1000,0)</f>
        <v>0</v>
      </c>
      <c r="Q64" s="54" t="n">
        <f aca="false">IF(Q59&gt;0,Исходные!$C$39/1000,0)</f>
        <v>0</v>
      </c>
      <c r="R64" s="54" t="n">
        <f aca="false">IF(R59&gt;0,Исходные!$C$39/1000,0)</f>
        <v>0</v>
      </c>
      <c r="S64" s="54" t="n">
        <f aca="false">IF(S59&gt;0,Исходные!$C$39/1000,0)</f>
        <v>0</v>
      </c>
      <c r="T64" s="54" t="n">
        <f aca="false">IF(T59&gt;0,Исходные!$C$39/1000,0)</f>
        <v>0</v>
      </c>
      <c r="U64" s="54" t="n">
        <f aca="false">IF(U59&gt;0,Исходные!$C$39/1000,0)</f>
        <v>0</v>
      </c>
      <c r="V64" s="54" t="n">
        <f aca="false">IF(V59&gt;0,Исходные!$C$39/1000,0)</f>
        <v>0</v>
      </c>
      <c r="W64" s="54" t="n">
        <f aca="false">IF(W59&gt;0,Исходные!$C$39/1000,0)</f>
        <v>0</v>
      </c>
      <c r="X64" s="54" t="n">
        <f aca="false">IF(X59&gt;0,Исходные!$C$39/1000,0)</f>
        <v>0</v>
      </c>
      <c r="Y64" s="54" t="n">
        <f aca="false">IF(Y59&gt;0,Исходные!$C$39/1000,0)</f>
        <v>0</v>
      </c>
      <c r="Z64" s="54" t="n">
        <f aca="false">IF(Z59&gt;0,Исходные!$C$39/1000,0)</f>
        <v>0</v>
      </c>
      <c r="AA64" s="54" t="n">
        <f aca="false">IF(AA59&gt;0,Исходные!$C$39/1000,0)</f>
        <v>0</v>
      </c>
      <c r="AB64" s="54" t="n">
        <f aca="false">IF(AB59&gt;0,Исходные!$C$39/1000,0)</f>
        <v>0</v>
      </c>
      <c r="AC64" s="54" t="n">
        <f aca="false">IF(AC59&gt;0,Исходные!$C$39/1000,0)</f>
        <v>0</v>
      </c>
      <c r="AD64" s="54" t="n">
        <f aca="false">IF(AD59&gt;0,Исходные!$C$39/1000,0)</f>
        <v>0</v>
      </c>
      <c r="AE64" s="54" t="n">
        <f aca="false">IF(AE59&gt;0,Исходные!$C$39/1000,0)</f>
        <v>0</v>
      </c>
      <c r="AF64" s="54" t="n">
        <f aca="false">IF(AF59&gt;0,Исходные!$C$39/1000,0)</f>
        <v>0</v>
      </c>
      <c r="AG64" s="54" t="n">
        <f aca="false">IF(AG59&gt;0,Исходные!$C$39/1000,0)</f>
        <v>0</v>
      </c>
      <c r="AH64" s="54" t="n">
        <f aca="false">IF(AH59&gt;0,Исходные!$C$39/1000,0)</f>
        <v>0</v>
      </c>
      <c r="AI64" s="54" t="n">
        <f aca="false">IF(AI59&gt;0,Исходные!$C$39/1000,0)</f>
        <v>0</v>
      </c>
      <c r="AJ64" s="54" t="n">
        <f aca="false">IF(AJ59&gt;0,Исходные!$C$39/1000,0)</f>
        <v>0</v>
      </c>
      <c r="AK64" s="54" t="n">
        <f aca="false">IF(AK59&gt;0,Исходные!$C$39/1000,0)</f>
        <v>0</v>
      </c>
      <c r="AL64" s="54" t="n">
        <f aca="false">IF(AL59&gt;0,Исходные!$C$39/1000,0)</f>
        <v>0</v>
      </c>
      <c r="AM64" s="54" t="n">
        <f aca="false">IF(AM59&gt;0,Исходные!$C$39/1000,0)</f>
        <v>0</v>
      </c>
      <c r="AN64" s="54" t="n">
        <f aca="false">IF(AN59&gt;0,Исходные!$C$39/1000,0)</f>
        <v>0</v>
      </c>
      <c r="AO64" s="54" t="n">
        <f aca="false">IF(AO59&gt;0,Исходные!$C$39/1000,0)</f>
        <v>0</v>
      </c>
      <c r="AP64" s="54" t="n">
        <f aca="false">IF(AP59&gt;0,Исходные!$C$39/1000,0)</f>
        <v>0</v>
      </c>
      <c r="AQ64" s="54" t="n">
        <f aca="false">IF(AQ59&gt;0,Исходные!$C$39/1000,0)</f>
        <v>0</v>
      </c>
      <c r="AR64" s="54" t="n">
        <f aca="false">IF(AR59&gt;0,Исходные!$C$39/1000,0)</f>
        <v>0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0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</v>
      </c>
      <c r="L65" s="54" t="n">
        <f aca="false">IF(L59&gt;0,Исходные!$C$40/1000,0)</f>
        <v>0</v>
      </c>
      <c r="M65" s="54" t="n">
        <f aca="false">IF(M59&gt;0,Исходные!$C$40/1000,0)</f>
        <v>0</v>
      </c>
      <c r="N65" s="54" t="n">
        <f aca="false">IF(N59&gt;0,Исходные!$C$40/1000,0)</f>
        <v>0</v>
      </c>
      <c r="O65" s="54" t="n">
        <f aca="false">IF(O59&gt;0,Исходные!$C$40/1000,0)</f>
        <v>0</v>
      </c>
      <c r="P65" s="54" t="n">
        <f aca="false">IF(P59&gt;0,Исходные!$C$40/1000,0)</f>
        <v>0</v>
      </c>
      <c r="Q65" s="54" t="n">
        <f aca="false">IF(Q59&gt;0,Исходные!$C$40/1000,0)</f>
        <v>0</v>
      </c>
      <c r="R65" s="54" t="n">
        <f aca="false">IF(R59&gt;0,Исходные!$C$40/1000,0)</f>
        <v>0</v>
      </c>
      <c r="S65" s="54" t="n">
        <f aca="false">IF(S59&gt;0,Исходные!$C$40/1000,0)</f>
        <v>0</v>
      </c>
      <c r="T65" s="54" t="n">
        <f aca="false">IF(T59&gt;0,Исходные!$C$40/1000,0)</f>
        <v>0</v>
      </c>
      <c r="U65" s="54" t="n">
        <f aca="false">IF(U59&gt;0,Исходные!$C$40/1000,0)</f>
        <v>0</v>
      </c>
      <c r="V65" s="54" t="n">
        <f aca="false">IF(V59&gt;0,Исходные!$C$40/1000,0)</f>
        <v>0</v>
      </c>
      <c r="W65" s="54" t="n">
        <f aca="false">IF(W59&gt;0,Исходные!$C$40/1000,0)</f>
        <v>0</v>
      </c>
      <c r="X65" s="54" t="n">
        <f aca="false">IF(X59&gt;0,Исходные!$C$40/1000,0)</f>
        <v>0</v>
      </c>
      <c r="Y65" s="54" t="n">
        <f aca="false">IF(Y59&gt;0,Исходные!$C$40/1000,0)</f>
        <v>0</v>
      </c>
      <c r="Z65" s="54" t="n">
        <f aca="false">IF(Z59&gt;0,Исходные!$C$40/1000,0)</f>
        <v>0</v>
      </c>
      <c r="AA65" s="54" t="n">
        <f aca="false">IF(AA59&gt;0,Исходные!$C$40/1000,0)</f>
        <v>0</v>
      </c>
      <c r="AB65" s="54" t="n">
        <f aca="false">IF(AB59&gt;0,Исходные!$C$40/1000,0)</f>
        <v>0</v>
      </c>
      <c r="AC65" s="54" t="n">
        <f aca="false">IF(AC59&gt;0,Исходные!$C$40/1000,0)</f>
        <v>0</v>
      </c>
      <c r="AD65" s="54" t="n">
        <f aca="false">IF(AD59&gt;0,Исходные!$C$40/1000,0)</f>
        <v>0</v>
      </c>
      <c r="AE65" s="54" t="n">
        <f aca="false">IF(AE59&gt;0,Исходные!$C$40/1000,0)</f>
        <v>0</v>
      </c>
      <c r="AF65" s="54" t="n">
        <f aca="false">IF(AF59&gt;0,Исходные!$C$40/1000,0)</f>
        <v>0</v>
      </c>
      <c r="AG65" s="54" t="n">
        <f aca="false">IF(AG59&gt;0,Исходные!$C$40/1000,0)</f>
        <v>0</v>
      </c>
      <c r="AH65" s="54" t="n">
        <f aca="false">IF(AH59&gt;0,Исходные!$C$40/1000,0)</f>
        <v>0</v>
      </c>
      <c r="AI65" s="54" t="n">
        <f aca="false">IF(AI59&gt;0,Исходные!$C$40/1000,0)</f>
        <v>0</v>
      </c>
      <c r="AJ65" s="54" t="n">
        <f aca="false">IF(AJ59&gt;0,Исходные!$C$40/1000,0)</f>
        <v>0</v>
      </c>
      <c r="AK65" s="54" t="n">
        <f aca="false">IF(AK59&gt;0,Исходные!$C$40/1000,0)</f>
        <v>0</v>
      </c>
      <c r="AL65" s="54" t="n">
        <f aca="false">IF(AL59&gt;0,Исходные!$C$40/1000,0)</f>
        <v>0</v>
      </c>
      <c r="AM65" s="54" t="n">
        <f aca="false">IF(AM59&gt;0,Исходные!$C$40/1000,0)</f>
        <v>0</v>
      </c>
      <c r="AN65" s="54" t="n">
        <f aca="false">IF(AN59&gt;0,Исходные!$C$40/1000,0)</f>
        <v>0</v>
      </c>
      <c r="AO65" s="54" t="n">
        <f aca="false">IF(AO59&gt;0,Исходные!$C$40/1000,0)</f>
        <v>0</v>
      </c>
      <c r="AP65" s="54" t="n">
        <f aca="false">IF(AP59&gt;0,Исходные!$C$40/1000,0)</f>
        <v>0</v>
      </c>
      <c r="AQ65" s="54" t="n">
        <f aca="false">IF(AQ59&gt;0,Исходные!$C$40/1000,0)</f>
        <v>0</v>
      </c>
      <c r="AR65" s="54" t="n">
        <f aca="false">IF(AR59&gt;0,Исходные!$C$40/1000,0)</f>
        <v>0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</v>
      </c>
      <c r="L66" s="54" t="n">
        <f aca="false">IF(L59&gt;0,$D$43-L64-L65,0)</f>
        <v>0</v>
      </c>
      <c r="M66" s="54" t="n">
        <f aca="false">IF(M59&gt;0,$D$43-M64-M65,0)</f>
        <v>0</v>
      </c>
      <c r="N66" s="54" t="n">
        <f aca="false">IF(N59&gt;0,$D$43-N64-N65,0)</f>
        <v>0</v>
      </c>
      <c r="O66" s="54" t="n">
        <f aca="false">IF(O59&gt;0,$D$43-O64-O65,0)</f>
        <v>0</v>
      </c>
      <c r="P66" s="54" t="n">
        <f aca="false">IF(P59&gt;0,$D$43-P64-P65,0)</f>
        <v>0</v>
      </c>
      <c r="Q66" s="54" t="n">
        <f aca="false">IF(Q59&gt;0,$D$43-Q64-Q65,0)</f>
        <v>0</v>
      </c>
      <c r="R66" s="54" t="n">
        <f aca="false">IF(R59&gt;0,$D$43-R64-R65,0)</f>
        <v>0</v>
      </c>
      <c r="S66" s="54" t="n">
        <f aca="false">IF(S59&gt;0,$D$43-S64-S65,0)</f>
        <v>0</v>
      </c>
      <c r="T66" s="54" t="n">
        <f aca="false">IF(T59&gt;0,$D$43-T64-T65,0)</f>
        <v>0</v>
      </c>
      <c r="U66" s="54" t="n">
        <f aca="false">IF(U59&gt;0,$D$43-U64-U65,0)</f>
        <v>0</v>
      </c>
      <c r="V66" s="54" t="n">
        <f aca="false">IF(V59&gt;0,$D$43-V64-V65,0)</f>
        <v>0</v>
      </c>
      <c r="W66" s="54" t="n">
        <f aca="false">IF(W59&gt;0,$D$43-W64-W65,0)</f>
        <v>0</v>
      </c>
      <c r="X66" s="54" t="n">
        <f aca="false">IF(X59&gt;0,$D$43-X64-X65,0)</f>
        <v>0</v>
      </c>
      <c r="Y66" s="54" t="n">
        <f aca="false">IF(Y59&gt;0,$D$43-Y64-Y65,0)</f>
        <v>0</v>
      </c>
      <c r="Z66" s="54" t="n">
        <f aca="false">IF(Z59&gt;0,$D$43-Z64-Z65,0)</f>
        <v>0</v>
      </c>
      <c r="AA66" s="54" t="n">
        <f aca="false">IF(AA59&gt;0,$D$43-AA64-AA65,0)</f>
        <v>0</v>
      </c>
      <c r="AB66" s="54" t="n">
        <f aca="false">IF(AB59&gt;0,$D$43-AB64-AB65,0)</f>
        <v>0</v>
      </c>
      <c r="AC66" s="54" t="n">
        <f aca="false">IF(AC59&gt;0,$D$43-AC64-AC65,0)</f>
        <v>0</v>
      </c>
      <c r="AD66" s="54" t="n">
        <f aca="false">IF(AD59&gt;0,$D$43-AD64-AD65,0)</f>
        <v>0</v>
      </c>
      <c r="AE66" s="54" t="n">
        <f aca="false">IF(AE59&gt;0,$D$43-AE64-AE65,0)</f>
        <v>0</v>
      </c>
      <c r="AF66" s="54" t="n">
        <f aca="false">IF(AF59&gt;0,$D$43-AF64-AF65,0)</f>
        <v>0</v>
      </c>
      <c r="AG66" s="54" t="n">
        <f aca="false">IF(AG59&gt;0,$D$43-AG64-AG65,0)</f>
        <v>0</v>
      </c>
      <c r="AH66" s="54" t="n">
        <f aca="false">IF(AH59&gt;0,$D$43-AH64-AH65,0)</f>
        <v>0</v>
      </c>
      <c r="AI66" s="54" t="n">
        <f aca="false">IF(AI59&gt;0,$D$43-AI64-AI65,0)</f>
        <v>0</v>
      </c>
      <c r="AJ66" s="54" t="n">
        <f aca="false">IF(AJ59&gt;0,$D$43-AJ64-AJ65,0)</f>
        <v>0</v>
      </c>
      <c r="AK66" s="54" t="n">
        <f aca="false">IF(AK59&gt;0,$D$43-AK64-AK65,0)</f>
        <v>0</v>
      </c>
      <c r="AL66" s="54" t="n">
        <f aca="false">IF(AL59&gt;0,$D$43-AL64-AL65,0)</f>
        <v>0</v>
      </c>
      <c r="AM66" s="54" t="n">
        <f aca="false">IF(AM59&gt;0,$D$43-AM64-AM65,0)</f>
        <v>0</v>
      </c>
      <c r="AN66" s="54" t="n">
        <f aca="false">IF(AN59&gt;0,$D$43-AN64-AN65,0)</f>
        <v>0</v>
      </c>
      <c r="AO66" s="54" t="n">
        <f aca="false">IF(AO59&gt;0,$D$43-AO64-AO65,0)</f>
        <v>0</v>
      </c>
      <c r="AP66" s="54" t="n">
        <f aca="false">IF(AP59&gt;0,$D$43-AP64-AP65,0)</f>
        <v>0</v>
      </c>
      <c r="AQ66" s="54" t="n">
        <f aca="false">IF(AQ59&gt;0,$D$43-AQ64-AQ65,0)</f>
        <v>0</v>
      </c>
      <c r="AR66" s="54" t="n">
        <f aca="false">IF(AR59&gt;0,$D$43-AR64-AR65,0)</f>
        <v>0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1143.40053269446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18.0089277145876</v>
      </c>
      <c r="J68" s="15" t="n">
        <f aca="false">J60*$D$39/1000</f>
        <v>36.0178554291752</v>
      </c>
      <c r="K68" s="15" t="n">
        <f aca="false">K60*$D$39/1000</f>
        <v>50.4249976008453</v>
      </c>
      <c r="L68" s="15" t="n">
        <f aca="false">L60*$D$39/1000</f>
        <v>50.4249976008453</v>
      </c>
      <c r="M68" s="15" t="n">
        <f aca="false">M60*$D$39/1000</f>
        <v>50.4249976008453</v>
      </c>
      <c r="N68" s="15" t="n">
        <f aca="false">N60*$D$39/1000</f>
        <v>50.4249976008453</v>
      </c>
      <c r="O68" s="15" t="n">
        <f aca="false">O60*$D$39/1000</f>
        <v>50.4249976008453</v>
      </c>
      <c r="P68" s="15" t="n">
        <f aca="false">P60*$D$39/1000</f>
        <v>49.6531864130773</v>
      </c>
      <c r="Q68" s="15" t="n">
        <f aca="false">Q60*$D$39/1000</f>
        <v>49.6531864130773</v>
      </c>
      <c r="R68" s="15" t="n">
        <f aca="false">R60*$D$39/1000</f>
        <v>49.6531864130773</v>
      </c>
      <c r="S68" s="15" t="n">
        <f aca="false">S60*$D$39/1000</f>
        <v>49.6531864130773</v>
      </c>
      <c r="T68" s="15" t="n">
        <f aca="false">T60*$D$39/1000</f>
        <v>49.6531864130773</v>
      </c>
      <c r="U68" s="15" t="n">
        <f aca="false">U60*$D$39/1000</f>
        <v>49.6531864130773</v>
      </c>
      <c r="V68" s="15" t="n">
        <f aca="false">V60*$D$39/1000</f>
        <v>46.2152840021792</v>
      </c>
      <c r="W68" s="15" t="n">
        <f aca="false">W60*$D$39/1000</f>
        <v>43.0154161232149</v>
      </c>
      <c r="X68" s="15" t="n">
        <f aca="false">X60*$D$39/1000</f>
        <v>40.0371016689217</v>
      </c>
      <c r="Y68" s="15" t="n">
        <f aca="false">Y60*$D$39/1000</f>
        <v>37.2650006559501</v>
      </c>
      <c r="Z68" s="15" t="n">
        <f aca="false">Z60*$D$39/1000</f>
        <v>34.68483521538</v>
      </c>
      <c r="AA68" s="15" t="n">
        <f aca="false">AA60*$D$39/1000</f>
        <v>32.2833160537184</v>
      </c>
      <c r="AB68" s="15" t="n">
        <f aca="false">AB60*$D$39/1000</f>
        <v>30.0480740056143</v>
      </c>
      <c r="AC68" s="15" t="n">
        <f aca="false">AC60*$D$39/1000</f>
        <v>27.967596325746</v>
      </c>
      <c r="AD68" s="15" t="n">
        <f aca="false">AD60*$D$39/1000</f>
        <v>26.0311673917515</v>
      </c>
      <c r="AE68" s="15" t="n">
        <f aca="false">AE60*$D$39/1000</f>
        <v>24.2288135127863</v>
      </c>
      <c r="AF68" s="15" t="n">
        <f aca="false">AF60*$D$39/1000</f>
        <v>22.5512515594436</v>
      </c>
      <c r="AG68" s="15" t="n">
        <f aca="false">AG60*$D$39/1000</f>
        <v>20.989841150452</v>
      </c>
      <c r="AH68" s="15" t="n">
        <f aca="false">AH60*$D$39/1000</f>
        <v>19.5365401498842</v>
      </c>
      <c r="AI68" s="15" t="n">
        <f aca="false">AI60*$D$39/1000</f>
        <v>18.1838632456643</v>
      </c>
      <c r="AJ68" s="15" t="n">
        <f aca="false">AJ60*$D$39/1000</f>
        <v>16.9248433960289</v>
      </c>
      <c r="AK68" s="15" t="n">
        <f aca="false">AK60*$D$39/1000</f>
        <v>15.7529959453695</v>
      </c>
      <c r="AL68" s="15" t="n">
        <f aca="false">AL60*$D$39/1000</f>
        <v>14.6622852246334</v>
      </c>
      <c r="AM68" s="15" t="n">
        <f aca="false">AM60*$D$39/1000</f>
        <v>13.6470934642559</v>
      </c>
      <c r="AN68" s="15" t="n">
        <f aca="false">AN60*$D$39/1000</f>
        <v>12.7021918595089</v>
      </c>
      <c r="AO68" s="15" t="n">
        <f aca="false">AO60*$D$39/1000</f>
        <v>11.8227136392351</v>
      </c>
      <c r="AP68" s="15" t="n">
        <f aca="false">AP60*$D$39/1000</f>
        <v>11.0041289992577</v>
      </c>
      <c r="AQ68" s="15" t="n">
        <f aca="false">AQ60*$D$39/1000</f>
        <v>10.2422217713578</v>
      </c>
      <c r="AR68" s="15" t="n">
        <f aca="false">AR60*$D$39/1000</f>
        <v>9.53306770765346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329.972353897612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5.1971711567694</v>
      </c>
      <c r="J69" s="15" t="n">
        <f aca="false">(J61+J66)*$D$40/1000</f>
        <v>10.3943423135388</v>
      </c>
      <c r="K69" s="15" t="n">
        <f aca="false">(K61+K66)*$D$40/1000</f>
        <v>14.5520792389543</v>
      </c>
      <c r="L69" s="15" t="n">
        <f aca="false">(L61+L66)*$D$40/1000</f>
        <v>14.5520792389543</v>
      </c>
      <c r="M69" s="15" t="n">
        <f aca="false">(M61+M66)*$D$40/1000</f>
        <v>14.5520792389543</v>
      </c>
      <c r="N69" s="15" t="n">
        <f aca="false">(N61+N66)*$D$40/1000</f>
        <v>14.5520792389543</v>
      </c>
      <c r="O69" s="15" t="n">
        <f aca="false">(O61+O66)*$D$40/1000</f>
        <v>14.5520792389543</v>
      </c>
      <c r="P69" s="15" t="n">
        <f aca="false">(P61+P66)*$D$40/1000</f>
        <v>14.3293433322356</v>
      </c>
      <c r="Q69" s="15" t="n">
        <f aca="false">(Q61+Q66)*$D$40/1000</f>
        <v>14.3293433322356</v>
      </c>
      <c r="R69" s="15" t="n">
        <f aca="false">(R61+R66)*$D$40/1000</f>
        <v>14.3293433322356</v>
      </c>
      <c r="S69" s="15" t="n">
        <f aca="false">(S61+S66)*$D$40/1000</f>
        <v>14.3293433322356</v>
      </c>
      <c r="T69" s="15" t="n">
        <f aca="false">(T61+T66)*$D$40/1000</f>
        <v>14.3293433322356</v>
      </c>
      <c r="U69" s="15" t="n">
        <f aca="false">(U61+U66)*$D$40/1000</f>
        <v>14.3293433322356</v>
      </c>
      <c r="V69" s="15" t="n">
        <f aca="false">(V61+V66)*$D$40/1000</f>
        <v>13.3372039037879</v>
      </c>
      <c r="W69" s="15" t="n">
        <f aca="false">(W61+W66)*$D$40/1000</f>
        <v>12.4137585266067</v>
      </c>
      <c r="X69" s="15" t="n">
        <f aca="false">(X61+X66)*$D$40/1000</f>
        <v>11.5542509410938</v>
      </c>
      <c r="Y69" s="15" t="n">
        <f aca="false">(Y61+Y66)*$D$40/1000</f>
        <v>10.7542542029983</v>
      </c>
      <c r="Z69" s="15" t="n">
        <f aca="false">(Z61+Z66)*$D$40/1000</f>
        <v>10.009647882181</v>
      </c>
      <c r="AA69" s="15" t="n">
        <f aca="false">(AA61+AA66)*$D$40/1000</f>
        <v>9.31659684009665</v>
      </c>
      <c r="AB69" s="15" t="n">
        <f aca="false">(AB61+AB66)*$D$40/1000</f>
        <v>8.67153147668832</v>
      </c>
      <c r="AC69" s="15" t="n">
        <f aca="false">(AC61+AC66)*$D$40/1000</f>
        <v>8.07112934495254</v>
      </c>
      <c r="AD69" s="15" t="n">
        <f aca="false">(AD61+AD66)*$D$40/1000</f>
        <v>7.51229803848125</v>
      </c>
      <c r="AE69" s="15" t="n">
        <f aca="false">(AE61+AE66)*$D$40/1000</f>
        <v>6.99215926384105</v>
      </c>
      <c r="AF69" s="15" t="n">
        <f aca="false">(AF61+AF66)*$D$40/1000</f>
        <v>6.50803401575402</v>
      </c>
      <c r="AG69" s="15" t="n">
        <f aca="false">(AG61+AG66)*$D$40/1000</f>
        <v>6.05742877872386</v>
      </c>
      <c r="AH69" s="15" t="n">
        <f aca="false">(AH61+AH66)*$D$40/1000</f>
        <v>5.63802268403799</v>
      </c>
      <c r="AI69" s="15" t="n">
        <f aca="false">(AI61+AI66)*$D$40/1000</f>
        <v>5.24765555599709</v>
      </c>
      <c r="AJ69" s="15" t="n">
        <f aca="false">(AJ61+AJ66)*$D$40/1000</f>
        <v>4.88431678580341</v>
      </c>
      <c r="AK69" s="15" t="n">
        <f aca="false">(AK61+AK66)*$D$40/1000</f>
        <v>4.54613497580217</v>
      </c>
      <c r="AL69" s="15" t="n">
        <f aca="false">(AL61+AL66)*$D$40/1000</f>
        <v>4.23136830073815</v>
      </c>
      <c r="AM69" s="15" t="n">
        <f aca="false">(AM61+AM66)*$D$40/1000</f>
        <v>3.9383955363825</v>
      </c>
      <c r="AN69" s="15" t="n">
        <f aca="false">(AN61+AN66)*$D$40/1000</f>
        <v>3.66570770932225</v>
      </c>
      <c r="AO69" s="15" t="n">
        <f aca="false">(AO61+AO66)*$D$40/1000</f>
        <v>3.41190032490417</v>
      </c>
      <c r="AP69" s="15" t="n">
        <f aca="false">(AP61+AP66)*$D$40/1000</f>
        <v>3.17566613330266</v>
      </c>
      <c r="AQ69" s="15" t="n">
        <f aca="false">(AQ61+AQ66)*$D$40/1000</f>
        <v>2.95578839645286</v>
      </c>
      <c r="AR69" s="15" t="n">
        <f aca="false">(AR61+AR66)*$D$40/1000</f>
        <v>2.7511346211698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415.210293488148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6.53969623764283</v>
      </c>
      <c r="J70" s="15" t="n">
        <f aca="false">J62*Исходные!$C$19/1000+J63*Исходные!$C$20/1000</f>
        <v>13.0793924752857</v>
      </c>
      <c r="K70" s="15" t="n">
        <f aca="false">K62*Исходные!$C$19/1000+K63*Исходные!$C$20/1000</f>
        <v>18.3111494653999</v>
      </c>
      <c r="L70" s="15" t="n">
        <f aca="false">L62*Исходные!$C$19/1000+L63*Исходные!$C$20/1000</f>
        <v>18.3111494653999</v>
      </c>
      <c r="M70" s="15" t="n">
        <f aca="false">M62*Исходные!$C$19/1000+M63*Исходные!$C$20/1000</f>
        <v>18.3111494653999</v>
      </c>
      <c r="N70" s="15" t="n">
        <f aca="false">N62*Исходные!$C$19/1000+N63*Исходные!$C$20/1000</f>
        <v>18.3111494653999</v>
      </c>
      <c r="O70" s="15" t="n">
        <f aca="false">O62*Исходные!$C$19/1000+O63*Исходные!$C$20/1000</f>
        <v>18.3111494653999</v>
      </c>
      <c r="P70" s="15" t="n">
        <f aca="false">P62*Исходные!$C$19/1000+P63*Исходные!$C$20/1000</f>
        <v>18.0308767695009</v>
      </c>
      <c r="Q70" s="15" t="n">
        <f aca="false">Q62*Исходные!$C$19/1000+Q63*Исходные!$C$20/1000</f>
        <v>18.0308767695009</v>
      </c>
      <c r="R70" s="15" t="n">
        <f aca="false">R62*Исходные!$C$19/1000+R63*Исходные!$C$20/1000</f>
        <v>18.0308767695009</v>
      </c>
      <c r="S70" s="15" t="n">
        <f aca="false">S62*Исходные!$C$19/1000+S63*Исходные!$C$20/1000</f>
        <v>18.0308767695009</v>
      </c>
      <c r="T70" s="15" t="n">
        <f aca="false">T62*Исходные!$C$19/1000+T63*Исходные!$C$20/1000</f>
        <v>18.0308767695009</v>
      </c>
      <c r="U70" s="15" t="n">
        <f aca="false">U62*Исходные!$C$19/1000+U63*Исходные!$C$20/1000</f>
        <v>18.0308767695009</v>
      </c>
      <c r="V70" s="15" t="n">
        <f aca="false">V62*Исходные!$C$19/1000+V63*Исходные!$C$20/1000</f>
        <v>16.7824494439961</v>
      </c>
      <c r="W70" s="15" t="n">
        <f aca="false">W62*Исходные!$C$19/1000+W63*Исходные!$C$20/1000</f>
        <v>15.6204611090623</v>
      </c>
      <c r="X70" s="15" t="n">
        <f aca="false">X62*Исходные!$C$19/1000+X63*Исходные!$C$20/1000</f>
        <v>14.5389268756008</v>
      </c>
      <c r="Y70" s="15" t="n">
        <f aca="false">Y62*Исходные!$C$19/1000+Y63*Исходные!$C$20/1000</f>
        <v>13.5322762380833</v>
      </c>
      <c r="Z70" s="15" t="n">
        <f aca="false">Z62*Исходные!$C$19/1000+Z63*Исходные!$C$20/1000</f>
        <v>12.5953243833361</v>
      </c>
      <c r="AA70" s="15" t="n">
        <f aca="false">AA62*Исходные!$C$19/1000+AA63*Исходные!$C$20/1000</f>
        <v>11.7232454858555</v>
      </c>
      <c r="AB70" s="15" t="n">
        <f aca="false">AB62*Исходные!$C$19/1000+AB63*Исходные!$C$20/1000</f>
        <v>10.9115478521109</v>
      </c>
      <c r="AC70" s="15" t="n">
        <f aca="false">AC62*Исходные!$C$19/1000+AC63*Исходные!$C$20/1000</f>
        <v>10.1560507858134</v>
      </c>
      <c r="AD70" s="15" t="n">
        <f aca="false">AD62*Исходные!$C$19/1000+AD63*Исходные!$C$20/1000</f>
        <v>9.45286305499429</v>
      </c>
      <c r="AE70" s="15" t="n">
        <f aca="false">AE62*Исходные!$C$19/1000+AE63*Исходные!$C$20/1000</f>
        <v>8.79836284998639</v>
      </c>
      <c r="AF70" s="15" t="n">
        <f aca="false">AF62*Исходные!$C$19/1000+AF63*Исходные!$C$20/1000</f>
        <v>8.18917912908106</v>
      </c>
      <c r="AG70" s="15" t="n">
        <f aca="false">AG62*Исходные!$C$19/1000+AG63*Исходные!$C$20/1000</f>
        <v>7.62217425577994</v>
      </c>
      <c r="AH70" s="15" t="n">
        <f aca="false">AH62*Исходные!$C$19/1000+AH63*Исходные!$C$20/1000</f>
        <v>7.09442783821408</v>
      </c>
      <c r="AI70" s="15" t="n">
        <f aca="false">AI62*Исходные!$C$19/1000+AI63*Исходные!$C$20/1000</f>
        <v>6.60322168749432</v>
      </c>
      <c r="AJ70" s="15" t="n">
        <f aca="false">AJ62*Исходные!$C$19/1000+AJ63*Исходные!$C$20/1000</f>
        <v>6.14602581751985</v>
      </c>
      <c r="AK70" s="15" t="n">
        <f aca="false">AK62*Исходные!$C$19/1000+AK63*Исходные!$C$20/1000</f>
        <v>5.72048541413642</v>
      </c>
      <c r="AL70" s="15" t="n">
        <f aca="false">AL62*Исходные!$C$19/1000+AL63*Исходные!$C$20/1000</f>
        <v>5.32440870652784</v>
      </c>
      <c r="AM70" s="15" t="n">
        <f aca="false">AM62*Исходные!$C$19/1000+AM63*Исходные!$C$20/1000</f>
        <v>4.95575567837177</v>
      </c>
      <c r="AN70" s="15" t="n">
        <f aca="false">AN62*Исходные!$C$19/1000+AN63*Исходные!$C$20/1000</f>
        <v>4.61262756061599</v>
      </c>
      <c r="AO70" s="15" t="n">
        <f aca="false">AO62*Исходные!$C$19/1000+AO63*Исходные!$C$20/1000</f>
        <v>4.29325705175696</v>
      </c>
      <c r="AP70" s="15" t="n">
        <f aca="false">AP62*Исходные!$C$19/1000+AP63*Исходные!$C$20/1000</f>
        <v>3.99599921524975</v>
      </c>
      <c r="AQ70" s="15" t="n">
        <f aca="false">AQ62*Исходные!$C$19/1000+AQ63*Исходные!$C$20/1000</f>
        <v>3.71932300716584</v>
      </c>
      <c r="AR70" s="15" t="n">
        <f aca="false">AR62*Исходные!$C$19/1000+AR63*Исходные!$C$20/1000</f>
        <v>3.46180339046151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0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0</v>
      </c>
      <c r="L71" s="15" t="n">
        <f aca="false">L64*$D$23/1000</f>
        <v>0</v>
      </c>
      <c r="M71" s="15" t="n">
        <f aca="false">M64*$D$23/1000</f>
        <v>0</v>
      </c>
      <c r="N71" s="15" t="n">
        <f aca="false">N64*$D$23/1000</f>
        <v>0</v>
      </c>
      <c r="O71" s="15" t="n">
        <f aca="false">O64*$D$23/1000</f>
        <v>0</v>
      </c>
      <c r="P71" s="15" t="n">
        <f aca="false">P64*$D$23/1000</f>
        <v>0</v>
      </c>
      <c r="Q71" s="15" t="n">
        <f aca="false">Q64*$D$23/1000</f>
        <v>0</v>
      </c>
      <c r="R71" s="15" t="n">
        <f aca="false">R64*$D$23/1000</f>
        <v>0</v>
      </c>
      <c r="S71" s="15" t="n">
        <f aca="false">S64*$D$23/1000</f>
        <v>0</v>
      </c>
      <c r="T71" s="15" t="n">
        <f aca="false">T64*$D$23/1000</f>
        <v>0</v>
      </c>
      <c r="U71" s="15" t="n">
        <f aca="false">U64*$D$23/1000</f>
        <v>0</v>
      </c>
      <c r="V71" s="15" t="n">
        <f aca="false">V64*$D$23/1000</f>
        <v>0</v>
      </c>
      <c r="W71" s="15" t="n">
        <f aca="false">W64*$D$23/1000</f>
        <v>0</v>
      </c>
      <c r="X71" s="15" t="n">
        <f aca="false">X64*$D$23/1000</f>
        <v>0</v>
      </c>
      <c r="Y71" s="15" t="n">
        <f aca="false">Y64*$D$23/1000</f>
        <v>0</v>
      </c>
      <c r="Z71" s="15" t="n">
        <f aca="false">Z64*$D$23/1000</f>
        <v>0</v>
      </c>
      <c r="AA71" s="15" t="n">
        <f aca="false">AA64*$D$23/1000</f>
        <v>0</v>
      </c>
      <c r="AB71" s="15" t="n">
        <f aca="false">AB64*$D$23/1000</f>
        <v>0</v>
      </c>
      <c r="AC71" s="15" t="n">
        <f aca="false">AC64*$D$23/1000</f>
        <v>0</v>
      </c>
      <c r="AD71" s="15" t="n">
        <f aca="false">AD64*$D$23/1000</f>
        <v>0</v>
      </c>
      <c r="AE71" s="15" t="n">
        <f aca="false">AE64*$D$23/1000</f>
        <v>0</v>
      </c>
      <c r="AF71" s="15" t="n">
        <f aca="false">AF64*$D$23/1000</f>
        <v>0</v>
      </c>
      <c r="AG71" s="15" t="n">
        <f aca="false">AG64*$D$23/1000</f>
        <v>0</v>
      </c>
      <c r="AH71" s="15" t="n">
        <f aca="false">AH64*$D$23/1000</f>
        <v>0</v>
      </c>
      <c r="AI71" s="15" t="n">
        <f aca="false">AI64*$D$23/1000</f>
        <v>0</v>
      </c>
      <c r="AJ71" s="15" t="n">
        <f aca="false">AJ64*$D$23/1000</f>
        <v>0</v>
      </c>
      <c r="AK71" s="15" t="n">
        <f aca="false">AK64*$D$23/1000</f>
        <v>0</v>
      </c>
      <c r="AL71" s="15" t="n">
        <f aca="false">AL64*$D$23/1000</f>
        <v>0</v>
      </c>
      <c r="AM71" s="15" t="n">
        <f aca="false">AM64*$D$23/1000</f>
        <v>0</v>
      </c>
      <c r="AN71" s="15" t="n">
        <f aca="false">AN64*$D$23/1000</f>
        <v>0</v>
      </c>
      <c r="AO71" s="15" t="n">
        <f aca="false">AO64*$D$23/1000</f>
        <v>0</v>
      </c>
      <c r="AP71" s="15" t="n">
        <f aca="false">AP64*$D$23/1000</f>
        <v>0</v>
      </c>
      <c r="AQ71" s="15" t="n">
        <f aca="false">AQ64*$D$23/1000</f>
        <v>0</v>
      </c>
      <c r="AR71" s="15" t="n">
        <f aca="false">AR64*$D$23/1000</f>
        <v>0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0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0</v>
      </c>
      <c r="L72" s="15" t="n">
        <f aca="false">L65*$D$24/1000</f>
        <v>0</v>
      </c>
      <c r="M72" s="15" t="n">
        <f aca="false">M65*$D$24/1000</f>
        <v>0</v>
      </c>
      <c r="N72" s="15" t="n">
        <f aca="false">N65*$D$24/1000</f>
        <v>0</v>
      </c>
      <c r="O72" s="15" t="n">
        <f aca="false">O65*$D$24/1000</f>
        <v>0</v>
      </c>
      <c r="P72" s="15" t="n">
        <f aca="false">P65*$D$24/1000</f>
        <v>0</v>
      </c>
      <c r="Q72" s="15" t="n">
        <f aca="false">Q65*$D$24/1000</f>
        <v>0</v>
      </c>
      <c r="R72" s="15" t="n">
        <f aca="false">R65*$D$24/1000</f>
        <v>0</v>
      </c>
      <c r="S72" s="15" t="n">
        <f aca="false">S65*$D$24/1000</f>
        <v>0</v>
      </c>
      <c r="T72" s="15" t="n">
        <f aca="false">T65*$D$24/1000</f>
        <v>0</v>
      </c>
      <c r="U72" s="15" t="n">
        <f aca="false">U65*$D$24/1000</f>
        <v>0</v>
      </c>
      <c r="V72" s="15" t="n">
        <f aca="false">V65*$D$24/1000</f>
        <v>0</v>
      </c>
      <c r="W72" s="15" t="n">
        <f aca="false">W65*$D$24/1000</f>
        <v>0</v>
      </c>
      <c r="X72" s="15" t="n">
        <f aca="false">X65*$D$24/1000</f>
        <v>0</v>
      </c>
      <c r="Y72" s="15" t="n">
        <f aca="false">Y65*$D$24/1000</f>
        <v>0</v>
      </c>
      <c r="Z72" s="15" t="n">
        <f aca="false">Z65*$D$24/1000</f>
        <v>0</v>
      </c>
      <c r="AA72" s="15" t="n">
        <f aca="false">AA65*$D$24/1000</f>
        <v>0</v>
      </c>
      <c r="AB72" s="15" t="n">
        <f aca="false">AB65*$D$24/1000</f>
        <v>0</v>
      </c>
      <c r="AC72" s="15" t="n">
        <f aca="false">AC65*$D$24/1000</f>
        <v>0</v>
      </c>
      <c r="AD72" s="15" t="n">
        <f aca="false">AD65*$D$24/1000</f>
        <v>0</v>
      </c>
      <c r="AE72" s="15" t="n">
        <f aca="false">AE65*$D$24/1000</f>
        <v>0</v>
      </c>
      <c r="AF72" s="15" t="n">
        <f aca="false">AF65*$D$24/1000</f>
        <v>0</v>
      </c>
      <c r="AG72" s="15" t="n">
        <f aca="false">AG65*$D$24/1000</f>
        <v>0</v>
      </c>
      <c r="AH72" s="15" t="n">
        <f aca="false">AH65*$D$24/1000</f>
        <v>0</v>
      </c>
      <c r="AI72" s="15" t="n">
        <f aca="false">AI65*$D$24/1000</f>
        <v>0</v>
      </c>
      <c r="AJ72" s="15" t="n">
        <f aca="false">AJ65*$D$24/1000</f>
        <v>0</v>
      </c>
      <c r="AK72" s="15" t="n">
        <f aca="false">AK65*$D$24/1000</f>
        <v>0</v>
      </c>
      <c r="AL72" s="15" t="n">
        <f aca="false">AL65*$D$24/1000</f>
        <v>0</v>
      </c>
      <c r="AM72" s="15" t="n">
        <f aca="false">AM65*$D$24/1000</f>
        <v>0</v>
      </c>
      <c r="AN72" s="15" t="n">
        <f aca="false">AN65*$D$24/1000</f>
        <v>0</v>
      </c>
      <c r="AO72" s="15" t="n">
        <f aca="false">AO65*$D$24/1000</f>
        <v>0</v>
      </c>
      <c r="AP72" s="15" t="n">
        <f aca="false">AP65*$D$24/1000</f>
        <v>0</v>
      </c>
      <c r="AQ72" s="15" t="n">
        <f aca="false">AQ65*$D$24/1000</f>
        <v>0</v>
      </c>
      <c r="AR72" s="15" t="n">
        <f aca="false">AR65*$D$24/1000</f>
        <v>0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1888.58318008022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29.7457951089999</v>
      </c>
      <c r="J73" s="15" t="n">
        <f aca="false">SUM(J68:J72)</f>
        <v>59.4915902179997</v>
      </c>
      <c r="K73" s="15" t="n">
        <f aca="false">SUM(K68:K72)</f>
        <v>83.2882263051996</v>
      </c>
      <c r="L73" s="15" t="n">
        <f aca="false">SUM(L68:L72)</f>
        <v>83.2882263051996</v>
      </c>
      <c r="M73" s="15" t="n">
        <f aca="false">SUM(M68:M72)</f>
        <v>83.2882263051996</v>
      </c>
      <c r="N73" s="15" t="n">
        <f aca="false">SUM(N68:N72)</f>
        <v>83.2882263051996</v>
      </c>
      <c r="O73" s="15" t="n">
        <f aca="false">SUM(O68:O72)</f>
        <v>83.2882263051996</v>
      </c>
      <c r="P73" s="15" t="n">
        <f aca="false">SUM(P68:P72)</f>
        <v>82.0134065148139</v>
      </c>
      <c r="Q73" s="15" t="n">
        <f aca="false">SUM(Q68:Q72)</f>
        <v>82.0134065148139</v>
      </c>
      <c r="R73" s="15" t="n">
        <f aca="false">SUM(R68:R72)</f>
        <v>82.0134065148139</v>
      </c>
      <c r="S73" s="15" t="n">
        <f aca="false">SUM(S68:S72)</f>
        <v>82.0134065148139</v>
      </c>
      <c r="T73" s="15" t="n">
        <f aca="false">SUM(T68:T72)</f>
        <v>82.0134065148139</v>
      </c>
      <c r="U73" s="15" t="n">
        <f aca="false">SUM(U68:U72)</f>
        <v>82.0134065148139</v>
      </c>
      <c r="V73" s="15" t="n">
        <f aca="false">SUM(V68:V72)</f>
        <v>76.3349373499632</v>
      </c>
      <c r="W73" s="15" t="n">
        <f aca="false">SUM(W68:W72)</f>
        <v>71.0496357588839</v>
      </c>
      <c r="X73" s="15" t="n">
        <f aca="false">SUM(X68:X72)</f>
        <v>66.1302794856163</v>
      </c>
      <c r="Y73" s="15" t="n">
        <f aca="false">SUM(Y68:Y72)</f>
        <v>61.5515310970318</v>
      </c>
      <c r="Z73" s="15" t="n">
        <f aca="false">SUM(Z68:Z72)</f>
        <v>57.289807480897</v>
      </c>
      <c r="AA73" s="15" t="n">
        <f aca="false">SUM(AA68:AA72)</f>
        <v>53.3231583796705</v>
      </c>
      <c r="AB73" s="15" t="n">
        <f aca="false">SUM(AB68:AB72)</f>
        <v>49.6311533344135</v>
      </c>
      <c r="AC73" s="15" t="n">
        <f aca="false">SUM(AC68:AC72)</f>
        <v>46.194776456512</v>
      </c>
      <c r="AD73" s="15" t="n">
        <f aca="false">SUM(AD68:AD72)</f>
        <v>42.996328485227</v>
      </c>
      <c r="AE73" s="15" t="n">
        <f aca="false">SUM(AE68:AE72)</f>
        <v>40.0193356266137</v>
      </c>
      <c r="AF73" s="15" t="n">
        <f aca="false">SUM(AF68:AF72)</f>
        <v>37.2484647042787</v>
      </c>
      <c r="AG73" s="15" t="n">
        <f aca="false">SUM(AG68:AG72)</f>
        <v>34.6694441849558</v>
      </c>
      <c r="AH73" s="15" t="n">
        <f aca="false">SUM(AH68:AH72)</f>
        <v>32.2689906721362</v>
      </c>
      <c r="AI73" s="15" t="n">
        <f aca="false">SUM(AI68:AI72)</f>
        <v>30.0347404891557</v>
      </c>
      <c r="AJ73" s="15" t="n">
        <f aca="false">SUM(AJ68:AJ72)</f>
        <v>27.9551859993522</v>
      </c>
      <c r="AK73" s="15" t="n">
        <f aca="false">SUM(AK68:AK72)</f>
        <v>26.0196163353081</v>
      </c>
      <c r="AL73" s="15" t="n">
        <f aca="false">SUM(AL68:AL72)</f>
        <v>24.2180622318993</v>
      </c>
      <c r="AM73" s="15" t="n">
        <f aca="false">SUM(AM68:AM72)</f>
        <v>22.5412446790102</v>
      </c>
      <c r="AN73" s="15" t="n">
        <f aca="false">SUM(AN68:AN72)</f>
        <v>20.9805271294472</v>
      </c>
      <c r="AO73" s="15" t="n">
        <f aca="false">SUM(AO68:AO72)</f>
        <v>19.5278710158963</v>
      </c>
      <c r="AP73" s="15" t="n">
        <f aca="false">SUM(AP68:AP72)</f>
        <v>18.1757943478101</v>
      </c>
      <c r="AQ73" s="15" t="n">
        <f aca="false">SUM(AQ68:AQ72)</f>
        <v>16.9173331749765</v>
      </c>
      <c r="AR73" s="15" t="n">
        <f aca="false">SUM(AR68:AR72)</f>
        <v>15.7460057192848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263.623124728381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2.49155918256809</v>
      </c>
      <c r="J74" s="15" t="n">
        <f aca="false">J52*$D$37/1000*(Исходные!$C$23+Исходные!$C$24*J56)/1000+Исходные!$C$25*J56*(J69+J70)</f>
        <v>5.34363455979853</v>
      </c>
      <c r="K74" s="15" t="n">
        <f aca="false">K52*$D$37/1000*(Исходные!$C$23+Исходные!$C$24*K56)/1000+Исходные!$C$25*K56*(K69+K70)</f>
        <v>7.98581105624523</v>
      </c>
      <c r="L74" s="15" t="n">
        <f aca="false">L52*$D$37/1000*(Исходные!$C$23+Исходные!$C$24*L56)/1000+Исходные!$C$25*L56*(L69+L70)</f>
        <v>8.49053372877251</v>
      </c>
      <c r="M74" s="15" t="n">
        <f aca="false">M52*$D$37/1000*(Исходные!$C$23+Исходные!$C$24*M56)/1000+Исходные!$C$25*M56*(M69+M70)</f>
        <v>8.9952564012998</v>
      </c>
      <c r="N74" s="15" t="n">
        <f aca="false">N52*$D$37/1000*(Исходные!$C$23+Исходные!$C$24*N56)/1000+Исходные!$C$25*N56*(N69+N70)</f>
        <v>9.49997907382708</v>
      </c>
      <c r="O74" s="15" t="n">
        <f aca="false">O52*$D$37/1000*(Исходные!$C$23+Исходные!$C$24*O56)/1000+Исходные!$C$25*O56*(O69+O70)</f>
        <v>10.0047017463544</v>
      </c>
      <c r="P74" s="15" t="n">
        <f aca="false">P52*$D$37/1000*(Исходные!$C$23+Исходные!$C$24*P56)/1000+Исходные!$C$25*P56*(P69+P70)</f>
        <v>10.4587211517378</v>
      </c>
      <c r="Q74" s="15" t="n">
        <f aca="false">Q52*$D$37/1000*(Исходные!$C$23+Исходные!$C$24*Q56)/1000+Исходные!$C$25*Q56*(Q69+Q70)</f>
        <v>10.9584640390992</v>
      </c>
      <c r="R74" s="15" t="n">
        <f aca="false">R52*$D$37/1000*(Исходные!$C$23+Исходные!$C$24*R56)/1000+Исходные!$C$25*R56*(R69+R70)</f>
        <v>11.4582069264605</v>
      </c>
      <c r="S74" s="15" t="n">
        <f aca="false">S52*$D$37/1000*(Исходные!$C$23+Исходные!$C$24*S56)/1000+Исходные!$C$25*S56*(S69+S70)</f>
        <v>11.9579498138219</v>
      </c>
      <c r="T74" s="15" t="n">
        <f aca="false">T52*$D$37/1000*(Исходные!$C$23+Исходные!$C$24*T56)/1000+Исходные!$C$25*T56*(T69+T70)</f>
        <v>12.4576927011833</v>
      </c>
      <c r="U74" s="15" t="n">
        <f aca="false">U52*$D$37/1000*(Исходные!$C$23+Исходные!$C$24*U56)/1000+Исходные!$C$25*U56*(U69+U70)</f>
        <v>12.9422918646852</v>
      </c>
      <c r="V74" s="15" t="n">
        <f aca="false">V52*$D$37/1000*(Исходные!$C$23+Исходные!$C$24*V56)/1000+Исходные!$C$25*V56*(V69+V70)</f>
        <v>12.0461895272846</v>
      </c>
      <c r="W74" s="15" t="n">
        <f aca="false">W52*$D$37/1000*(Исходные!$C$23+Исходные!$C$24*W56)/1000+Исходные!$C$25*W56*(W69+W70)</f>
        <v>11.2121317958541</v>
      </c>
      <c r="X74" s="15" t="n">
        <f aca="false">X52*$D$37/1000*(Исходные!$C$23+Исходные!$C$24*X56)/1000+Исходные!$C$25*X56*(X69+X70)</f>
        <v>10.4358228071097</v>
      </c>
      <c r="Y74" s="15" t="n">
        <f aca="false">Y52*$D$37/1000*(Исходные!$C$23+Исходные!$C$24*Y56)/1000+Исходные!$C$25*Y56*(Y69+Y70)</f>
        <v>9.7132641360549</v>
      </c>
      <c r="Z74" s="15" t="n">
        <f aca="false">Z52*$D$37/1000*(Исходные!$C$23+Исходные!$C$24*Z56)/1000+Исходные!$C$25*Z56*(Z69+Z70)</f>
        <v>9.0407342018584</v>
      </c>
      <c r="AA74" s="15" t="n">
        <f aca="false">AA52*$D$37/1000*(Исходные!$C$23+Исходные!$C$24*AA56)/1000+Исходные!$C$25*AA56*(AA69+AA70)</f>
        <v>8.41476909963343</v>
      </c>
      <c r="AB74" s="15" t="n">
        <f aca="false">AB52*$D$37/1000*(Исходные!$C$23+Исходные!$C$24*AB56)/1000+Исходные!$C$25*AB56*(AB69+AB70)</f>
        <v>7.83214475939247</v>
      </c>
      <c r="AC74" s="15" t="n">
        <f aca="false">AC52*$D$37/1000*(Исходные!$C$23+Исходные!$C$24*AC56)/1000+Исходные!$C$25*AC56*(AC69+AC70)</f>
        <v>7.28986034028565</v>
      </c>
      <c r="AD74" s="15" t="n">
        <f aca="false">AD52*$D$37/1000*(Исходные!$C$23+Исходные!$C$24*AD56)/1000+Исходные!$C$25*AD56*(AD69+AD70)</f>
        <v>6.78512277459384</v>
      </c>
      <c r="AE74" s="15" t="n">
        <f aca="false">AE52*$D$37/1000*(Исходные!$C$23+Исходные!$C$24*AE56)/1000+Исходные!$C$25*AE56*(AE69+AE70)</f>
        <v>6.31533238186948</v>
      </c>
      <c r="AF74" s="15" t="n">
        <f aca="false">AF52*$D$37/1000*(Исходные!$C$23+Исходные!$C$24*AF56)/1000+Исходные!$C$25*AF56*(AF69+AF70)</f>
        <v>5.87806947912989</v>
      </c>
      <c r="AG74" s="15" t="n">
        <f aca="false">AG52*$D$37/1000*(Исходные!$C$23+Исходные!$C$24*AG56)/1000+Исходные!$C$25*AG56*(AG69+AG70)</f>
        <v>5.47108191813814</v>
      </c>
      <c r="AH74" s="15" t="n">
        <f aca="false">AH52*$D$37/1000*(Исходные!$C$23+Исходные!$C$24*AH56)/1000+Исходные!$C$25*AH56*(AH69+AH70)</f>
        <v>5.09227348558135</v>
      </c>
      <c r="AI74" s="15" t="n">
        <f aca="false">AI52*$D$37/1000*(Исходные!$C$23+Исходные!$C$24*AI56)/1000+Исходные!$C$25*AI56*(AI69+AI70)</f>
        <v>4.73969310640106</v>
      </c>
      <c r="AJ74" s="15" t="n">
        <f aca="false">AJ52*$D$37/1000*(Исходные!$C$23+Исходные!$C$24*AJ56)/1000+Исходные!$C$25*AJ56*(AJ69+AJ70)</f>
        <v>4.41152479466665</v>
      </c>
      <c r="AK74" s="15" t="n">
        <f aca="false">AK52*$D$37/1000*(Исходные!$C$23+Исходные!$C$24*AK56)/1000+Исходные!$C$25*AK56*(AK69+AK70)</f>
        <v>4.10607830023328</v>
      </c>
      <c r="AL74" s="15" t="n">
        <f aca="false">AL52*$D$37/1000*(Исходные!$C$23+Исходные!$C$24*AL56)/1000+Исходные!$C$25*AL56*(AL69+AL70)</f>
        <v>3.8217804030093</v>
      </c>
      <c r="AM74" s="15" t="n">
        <f aca="false">AM52*$D$37/1000*(Исходные!$C$23+Исходные!$C$24*AM56)/1000+Исходные!$C$25*AM56*(AM69+AM70)</f>
        <v>3.55716680999388</v>
      </c>
      <c r="AN74" s="15" t="n">
        <f aca="false">AN52*$D$37/1000*(Исходные!$C$23+Исходные!$C$24*AN56)/1000+Исходные!$C$25*AN56*(AN69+AN70)</f>
        <v>3.31087461335001</v>
      </c>
      <c r="AO74" s="15" t="n">
        <f aca="false">AO52*$D$37/1000*(Исходные!$C$23+Исходные!$C$24*AO56)/1000+Исходные!$C$25*AO56*(AO69+AO70)</f>
        <v>3.08163527066767</v>
      </c>
      <c r="AP74" s="15" t="n">
        <f aca="false">AP52*$D$37/1000*(Исходные!$C$23+Исходные!$C$24*AP56)/1000+Исходные!$C$25*AP56*(AP69+AP70)</f>
        <v>2.86826807126178</v>
      </c>
      <c r="AQ74" s="15" t="n">
        <f aca="false">AQ52*$D$37/1000*(Исходные!$C$23+Исходные!$C$24*AQ56)/1000+Исходные!$C$25*AQ56*(AQ69+AQ70)</f>
        <v>2.66967405485248</v>
      </c>
      <c r="AR74" s="15" t="n">
        <f aca="false">AR52*$D$37/1000*(Исходные!$C$23+Исходные!$C$24*AR56)/1000+Исходные!$C$25*AR56*(AR69+AR70)</f>
        <v>2.48483035130575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0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0</v>
      </c>
      <c r="H80" s="15" t="n">
        <f aca="false">$D80*CAPEX_нормы!M$10</f>
        <v>0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53.8627468740055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22.4428291517513</v>
      </c>
      <c r="H81" s="15" t="n">
        <f aca="false">$D81*CAPEX_нормы!M$11</f>
        <v>31.4199177222543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8.61803949984089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4.48855936682063</v>
      </c>
      <c r="H82" s="15" t="n">
        <f aca="false">$D82*CAPEX_нормы!M$12</f>
        <v>4.12948013302026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2.69313734370028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1.34656867185014</v>
      </c>
      <c r="H83" s="15" t="n">
        <f aca="false">$D83*CAPEX_нормы!M$13</f>
        <v>1.34656867185014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10.7725493748011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10.7725493748011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62.8398713530065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26.9313465056293</v>
      </c>
      <c r="H85" s="15" t="n">
        <f aca="false">$D85*CAPEX_нормы!M$15</f>
        <v>35.9085248473771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0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0</v>
      </c>
      <c r="J92" s="15" t="n">
        <f aca="false">$D92*CAPEX_нормы!O$22</f>
        <v>0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485.842175432342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165.770676018363</v>
      </c>
      <c r="H93" s="15" t="n">
        <f aca="false">SUM(H76:H92)</f>
        <v>150.883096338149</v>
      </c>
      <c r="I93" s="15" t="n">
        <f aca="false">SUM(I76:I92)</f>
        <v>6.85714285714286</v>
      </c>
      <c r="J93" s="15" t="n">
        <f aca="false">SUM(J76:J92)</f>
        <v>0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31.2982089499826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257.669537316215</v>
      </c>
      <c r="H94" s="15" t="n">
        <f aca="false">G94+H93</f>
        <v>408.552633654364</v>
      </c>
      <c r="I94" s="15" t="n">
        <f aca="false">H94+I93</f>
        <v>415.409776511506</v>
      </c>
      <c r="J94" s="15" t="n">
        <f aca="false">I94+J93</f>
        <v>415.409776511506</v>
      </c>
      <c r="K94" s="15" t="n">
        <f aca="false">J94+K93</f>
        <v>415.409776511506</v>
      </c>
      <c r="L94" s="15" t="n">
        <f aca="false">K94+L93</f>
        <v>415.409776511506</v>
      </c>
      <c r="M94" s="15" t="n">
        <f aca="false">L94+M93</f>
        <v>415.409776511506</v>
      </c>
      <c r="N94" s="15" t="n">
        <f aca="false">M94+N93</f>
        <v>417.981205082935</v>
      </c>
      <c r="O94" s="15" t="n">
        <f aca="false">N94+O93</f>
        <v>434.018306907178</v>
      </c>
      <c r="P94" s="15" t="n">
        <f aca="false">O94+P93</f>
        <v>465.316515857161</v>
      </c>
      <c r="Q94" s="15" t="n">
        <f aca="false">P94+Q93</f>
        <v>467.887944428589</v>
      </c>
      <c r="R94" s="15" t="n">
        <f aca="false">Q94+R93</f>
        <v>467.887944428589</v>
      </c>
      <c r="S94" s="15" t="n">
        <f aca="false">R94+S93</f>
        <v>467.887944428589</v>
      </c>
      <c r="T94" s="15" t="n">
        <f aca="false">S94+T93</f>
        <v>467.887944428589</v>
      </c>
      <c r="U94" s="15" t="n">
        <f aca="false">T94+U93</f>
        <v>467.887944428589</v>
      </c>
      <c r="V94" s="15" t="n">
        <f aca="false">U94+V93</f>
        <v>467.887944428589</v>
      </c>
      <c r="W94" s="15" t="n">
        <f aca="false">V94+W93</f>
        <v>485.842175432342</v>
      </c>
      <c r="X94" s="15" t="n">
        <f aca="false">W94+X93</f>
        <v>485.842175432342</v>
      </c>
      <c r="Y94" s="15" t="n">
        <f aca="false">X94+Y93</f>
        <v>485.842175432342</v>
      </c>
      <c r="Z94" s="15" t="n">
        <f aca="false">Y94+Z93</f>
        <v>485.842175432342</v>
      </c>
      <c r="AA94" s="15" t="n">
        <f aca="false">Z94+AA93</f>
        <v>485.842175432342</v>
      </c>
      <c r="AB94" s="15" t="n">
        <f aca="false">AA94+AB93</f>
        <v>485.842175432342</v>
      </c>
      <c r="AC94" s="15" t="n">
        <f aca="false">AB94+AC93</f>
        <v>485.842175432342</v>
      </c>
      <c r="AD94" s="15" t="n">
        <f aca="false">AC94+AD93</f>
        <v>485.842175432342</v>
      </c>
      <c r="AE94" s="15" t="n">
        <f aca="false">AD94+AE93</f>
        <v>485.842175432342</v>
      </c>
      <c r="AF94" s="15" t="n">
        <f aca="false">AE94+AF93</f>
        <v>485.842175432342</v>
      </c>
      <c r="AG94" s="15" t="n">
        <f aca="false">AF94+AG93</f>
        <v>485.842175432342</v>
      </c>
      <c r="AH94" s="15" t="n">
        <f aca="false">AG94+AH93</f>
        <v>485.842175432342</v>
      </c>
      <c r="AI94" s="15" t="n">
        <f aca="false">AH94+AI93</f>
        <v>485.842175432342</v>
      </c>
      <c r="AJ94" s="15" t="n">
        <f aca="false">AI94+AJ93</f>
        <v>485.842175432342</v>
      </c>
      <c r="AK94" s="15" t="n">
        <f aca="false">AJ94+AK93</f>
        <v>485.842175432342</v>
      </c>
      <c r="AL94" s="15" t="n">
        <f aca="false">AK94+AL93</f>
        <v>485.842175432342</v>
      </c>
      <c r="AM94" s="15" t="n">
        <f aca="false">AL94+AM93</f>
        <v>485.842175432342</v>
      </c>
      <c r="AN94" s="15" t="n">
        <f aca="false">AM94+AN93</f>
        <v>485.842175432342</v>
      </c>
      <c r="AO94" s="15" t="n">
        <f aca="false">AN94+AO93</f>
        <v>485.842175432342</v>
      </c>
      <c r="AP94" s="15" t="n">
        <f aca="false">AO94+AP93</f>
        <v>485.842175432342</v>
      </c>
      <c r="AQ94" s="15" t="n">
        <f aca="false">AP94+AQ93</f>
        <v>485.842175432342</v>
      </c>
      <c r="AR94" s="15" t="n">
        <f aca="false">AQ94+AR93</f>
        <v>485.842175432342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330.188359291906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7.43400652147326</v>
      </c>
      <c r="J97" s="15" t="n">
        <f aca="false">J96*Исходные!$C$33*J94+J52*Исходные!$C$34/1000+J62*Исходные!$C$35/1000+(J61+J62)*Исходные!$C$36/1000+IF(J59&gt;0,$D$43*Исходные!$C$41/1000,0)+J96*$D$33</f>
        <v>8.63686639527393</v>
      </c>
      <c r="K97" s="15" t="n">
        <f aca="false">K96*Исходные!$C$33*K94+K52*Исходные!$C$34/1000+K62*Исходные!$C$35/1000+(K61+K62)*Исходные!$C$36/1000+IF(K59&gt;0,$D$43*Исходные!$C$41/1000,0)+K96*$D$33</f>
        <v>9.59915429431446</v>
      </c>
      <c r="L97" s="15" t="n">
        <f aca="false">L96*Исходные!$C$33*L94+L52*Исходные!$C$34/1000+L62*Исходные!$C$35/1000+(L61+L62)*Исходные!$C$36/1000+IF(L59&gt;0,$D$43*Исходные!$C$41/1000,0)+L96*$D$33</f>
        <v>9.59915429431446</v>
      </c>
      <c r="M97" s="15" t="n">
        <f aca="false">M96*Исходные!$C$33*M94+M52*Исходные!$C$34/1000+M62*Исходные!$C$35/1000+(M61+M62)*Исходные!$C$36/1000+IF(M59&gt;0,$D$43*Исходные!$C$41/1000,0)+M96*$D$33</f>
        <v>9.59915429431446</v>
      </c>
      <c r="N97" s="15" t="n">
        <f aca="false">N96*Исходные!$C$33*N94+N52*Исходные!$C$34/1000+N62*Исходные!$C$35/1000+(N61+N62)*Исходные!$C$36/1000+IF(N59&gt;0,$D$43*Исходные!$C$41/1000,0)+N96*$D$33</f>
        <v>9.63772572288589</v>
      </c>
      <c r="O97" s="15" t="n">
        <f aca="false">O96*Исходные!$C$33*O94+O52*Исходные!$C$34/1000+O62*Исходные!$C$35/1000+(O61+O62)*Исходные!$C$36/1000+IF(O59&gt;0,$D$43*Исходные!$C$41/1000,0)+O96*$D$33</f>
        <v>9.87828225024954</v>
      </c>
      <c r="P97" s="15" t="n">
        <f aca="false">P96*Исходные!$C$33*P94+P52*Исходные!$C$34/1000+P62*Исходные!$C$35/1000+(P61+P62)*Исходные!$C$36/1000+IF(P59&gt;0,$D$43*Исходные!$C$41/1000,0)+P96*$D$33</f>
        <v>10.3237552674588</v>
      </c>
      <c r="Q97" s="15" t="n">
        <f aca="false">Q96*Исходные!$C$33*Q94+Q52*Исходные!$C$34/1000+Q62*Исходные!$C$35/1000+(Q61+Q62)*Исходные!$C$36/1000+IF(Q59&gt;0,$D$43*Исходные!$C$41/1000,0)+Q96*$D$33</f>
        <v>10.3623266960303</v>
      </c>
      <c r="R97" s="15" t="n">
        <f aca="false">R96*Исходные!$C$33*R94+R52*Исходные!$C$34/1000+R62*Исходные!$C$35/1000+(R61+R62)*Исходные!$C$36/1000+IF(R59&gt;0,$D$43*Исходные!$C$41/1000,0)+R96*$D$33</f>
        <v>10.3623266960303</v>
      </c>
      <c r="S97" s="15" t="n">
        <f aca="false">S96*Исходные!$C$33*S94+S52*Исходные!$C$34/1000+S62*Исходные!$C$35/1000+(S61+S62)*Исходные!$C$36/1000+IF(S59&gt;0,$D$43*Исходные!$C$41/1000,0)+S96*$D$33</f>
        <v>10.3623266960303</v>
      </c>
      <c r="T97" s="15" t="n">
        <f aca="false">T96*Исходные!$C$33*T94+T52*Исходные!$C$34/1000+T62*Исходные!$C$35/1000+(T61+T62)*Исходные!$C$36/1000+IF(T59&gt;0,$D$43*Исходные!$C$41/1000,0)+T96*$D$33</f>
        <v>10.3623266960303</v>
      </c>
      <c r="U97" s="15" t="n">
        <f aca="false">U96*Исходные!$C$33*U94+U52*Исходные!$C$34/1000+U62*Исходные!$C$35/1000+(U61+U62)*Исходные!$C$36/1000+IF(U59&gt;0,$D$43*Исходные!$C$41/1000,0)+U96*$D$33</f>
        <v>10.3623266960303</v>
      </c>
      <c r="V97" s="15" t="n">
        <f aca="false">V96*Исходные!$C$33*V94+V52*Исходные!$C$34/1000+V62*Исходные!$C$35/1000+(V61+V62)*Исходные!$C$36/1000+IF(V59&gt;0,$D$43*Исходные!$C$41/1000,0)+V96*$D$33</f>
        <v>10.1307932864231</v>
      </c>
      <c r="W97" s="15" t="n">
        <f aca="false">W96*Исходные!$C$33*W94+W52*Исходные!$C$34/1000+W62*Исходные!$C$35/1000+(W61+W62)*Исходные!$C$36/1000+IF(W59&gt;0,$D$43*Исходные!$C$41/1000,0)+W96*$D$33</f>
        <v>10.1846043224517</v>
      </c>
      <c r="X97" s="15" t="n">
        <f aca="false">X96*Исходные!$C$33*X94+X52*Исходные!$C$34/1000+X62*Исходные!$C$35/1000+(X61+X62)*Исходные!$C$36/1000+IF(X59&gt;0,$D$43*Исходные!$C$41/1000,0)+X96*$D$33</f>
        <v>9.98402291609797</v>
      </c>
      <c r="Y97" s="15" t="n">
        <f aca="false">Y96*Исходные!$C$33*Y94+Y52*Исходные!$C$34/1000+Y62*Исходные!$C$35/1000+(Y61+Y62)*Исходные!$C$36/1000+IF(Y59&gt;0,$D$43*Исходные!$C$41/1000,0)+Y96*$D$33</f>
        <v>9.7973294261158</v>
      </c>
      <c r="Z97" s="15" t="n">
        <f aca="false">Z96*Исходные!$C$33*Z94+Z52*Исходные!$C$34/1000+Z62*Исходные!$C$35/1000+(Z61+Z62)*Исходные!$C$36/1000+IF(Z59&gt;0,$D$43*Исходные!$C$41/1000,0)+Z96*$D$33</f>
        <v>9.62356227673077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9.46182647004419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9.31128897629387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9.17117444328548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9.04076120289553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8.9193775540774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8.80639830322567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8.70124154407978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8.60336566058167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8.51226653725053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8.42747496270639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8.34855421296943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8.27509780208744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8.20672738850614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8.14309082639874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8.08386035191822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8.02873089503044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7.97741850823297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7.92965890406685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485.842175432342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408.552633654364</v>
      </c>
      <c r="J98" s="15" t="n">
        <f aca="false">I93</f>
        <v>6.85714285714286</v>
      </c>
      <c r="K98" s="15" t="n">
        <f aca="false">J93</f>
        <v>0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31.2982089499826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485.842175432342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27.2368422436242</v>
      </c>
      <c r="J99" s="15" t="n">
        <f aca="true">SUM(OFFSET(J98,0,-MIN(Исходные!$C$32-1,J47),1,MIN(Исходные!$C$32,J47+1)))/Исходные!$C$32</f>
        <v>27.6939851007671</v>
      </c>
      <c r="K99" s="15" t="n">
        <f aca="true">SUM(OFFSET(K98,0,-MIN(Исходные!$C$32-1,K47),1,MIN(Исходные!$C$32,K47+1)))/Исходные!$C$32</f>
        <v>27.6939851007671</v>
      </c>
      <c r="L99" s="15" t="n">
        <f aca="true">SUM(OFFSET(L98,0,-MIN(Исходные!$C$32-1,L47),1,MIN(Исходные!$C$32,L47+1)))/Исходные!$C$32</f>
        <v>27.6939851007671</v>
      </c>
      <c r="M99" s="15" t="n">
        <f aca="true">SUM(OFFSET(M98,0,-MIN(Исходные!$C$32-1,M47),1,MIN(Исходные!$C$32,M47+1)))/Исходные!$C$32</f>
        <v>27.6939851007671</v>
      </c>
      <c r="N99" s="15" t="n">
        <f aca="true">SUM(OFFSET(N98,0,-MIN(Исходные!$C$32-1,N47),1,MIN(Исходные!$C$32,N47+1)))/Исходные!$C$32</f>
        <v>27.6939851007671</v>
      </c>
      <c r="O99" s="15" t="n">
        <f aca="true">SUM(OFFSET(O98,0,-MIN(Исходные!$C$32-1,O47),1,MIN(Исходные!$C$32,O47+1)))/Исходные!$C$32</f>
        <v>27.8654136721957</v>
      </c>
      <c r="P99" s="15" t="n">
        <f aca="true">SUM(OFFSET(P98,0,-MIN(Исходные!$C$32-1,P47),1,MIN(Исходные!$C$32,P47+1)))/Исходные!$C$32</f>
        <v>28.9345537938119</v>
      </c>
      <c r="Q99" s="15" t="n">
        <f aca="true">SUM(OFFSET(Q98,0,-MIN(Исходные!$C$32-1,Q47),1,MIN(Исходные!$C$32,Q47+1)))/Исходные!$C$32</f>
        <v>31.0211010571441</v>
      </c>
      <c r="R99" s="15" t="n">
        <f aca="true">SUM(OFFSET(R98,0,-MIN(Исходные!$C$32-1,R47),1,MIN(Исходные!$C$32,R47+1)))/Исходные!$C$32</f>
        <v>31.1925296285726</v>
      </c>
      <c r="S99" s="15" t="n">
        <f aca="true">SUM(OFFSET(S98,0,-MIN(Исходные!$C$32-1,S47),1,MIN(Исходные!$C$32,S47+1)))/Исходные!$C$32</f>
        <v>31.1925296285726</v>
      </c>
      <c r="T99" s="15" t="n">
        <f aca="true">SUM(OFFSET(T98,0,-MIN(Исходные!$C$32-1,T47),1,MIN(Исходные!$C$32,T47+1)))/Исходные!$C$32</f>
        <v>31.1925296285726</v>
      </c>
      <c r="U99" s="15" t="n">
        <f aca="true">SUM(OFFSET(U98,0,-MIN(Исходные!$C$32-1,U47),1,MIN(Исходные!$C$32,U47+1)))/Исходные!$C$32</f>
        <v>31.1925296285726</v>
      </c>
      <c r="V99" s="15" t="n">
        <f aca="true">SUM(OFFSET(V98,0,-MIN(Исходные!$C$32-1,V47),1,MIN(Исходные!$C$32,V47+1)))/Исходные!$C$32</f>
        <v>31.1925296285726</v>
      </c>
      <c r="W99" s="15" t="n">
        <f aca="true">SUM(OFFSET(W98,0,-MIN(Исходные!$C$32-1,W47),1,MIN(Исходные!$C$32,W47+1)))/Исходные!$C$32</f>
        <v>31.1925296285726</v>
      </c>
      <c r="X99" s="15" t="n">
        <f aca="true">SUM(OFFSET(X98,0,-MIN(Исходные!$C$32-1,X47),1,MIN(Исходные!$C$32,X47+1)))/Исходные!$C$32</f>
        <v>5.15263611853191</v>
      </c>
      <c r="Y99" s="15" t="n">
        <f aca="true">SUM(OFFSET(Y98,0,-MIN(Исходные!$C$32-1,Y47),1,MIN(Исходные!$C$32,Y47+1)))/Исходные!$C$32</f>
        <v>4.69549326138906</v>
      </c>
      <c r="Z99" s="15" t="n">
        <f aca="true">SUM(OFFSET(Z98,0,-MIN(Исходные!$C$32-1,Z47),1,MIN(Исходные!$C$32,Z47+1)))/Исходные!$C$32</f>
        <v>4.69549326138906</v>
      </c>
      <c r="AA99" s="15" t="n">
        <f aca="true">SUM(OFFSET(AA98,0,-MIN(Исходные!$C$32-1,AA47),1,MIN(Исходные!$C$32,AA47+1)))/Исходные!$C$32</f>
        <v>4.69549326138906</v>
      </c>
      <c r="AB99" s="15" t="n">
        <f aca="true">SUM(OFFSET(AB98,0,-MIN(Исходные!$C$32-1,AB47),1,MIN(Исходные!$C$32,AB47+1)))/Исходные!$C$32</f>
        <v>4.69549326138906</v>
      </c>
      <c r="AC99" s="15" t="n">
        <f aca="true">SUM(OFFSET(AC98,0,-MIN(Исходные!$C$32-1,AC47),1,MIN(Исходные!$C$32,AC47+1)))/Исходные!$C$32</f>
        <v>4.69549326138906</v>
      </c>
      <c r="AD99" s="15" t="n">
        <f aca="true">SUM(OFFSET(AD98,0,-MIN(Исходные!$C$32-1,AD47),1,MIN(Исходные!$C$32,AD47+1)))/Исходные!$C$32</f>
        <v>4.52406468996048</v>
      </c>
      <c r="AE99" s="15" t="n">
        <f aca="true">SUM(OFFSET(AE98,0,-MIN(Исходные!$C$32-1,AE47),1,MIN(Исходные!$C$32,AE47+1)))/Исходные!$C$32</f>
        <v>3.45492456834427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27.2368422436242</v>
      </c>
      <c r="J100" s="15" t="n">
        <f aca="false">I100+J99</f>
        <v>54.9308273443913</v>
      </c>
      <c r="K100" s="15" t="n">
        <f aca="false">J100+K99</f>
        <v>82.6248124451584</v>
      </c>
      <c r="L100" s="15" t="n">
        <f aca="false">K100+L99</f>
        <v>110.318797545926</v>
      </c>
      <c r="M100" s="15" t="n">
        <f aca="false">L100+M99</f>
        <v>138.012782646693</v>
      </c>
      <c r="N100" s="15" t="n">
        <f aca="false">M100+N99</f>
        <v>165.70676774746</v>
      </c>
      <c r="O100" s="15" t="n">
        <f aca="false">N100+O99</f>
        <v>193.572181419655</v>
      </c>
      <c r="P100" s="15" t="n">
        <f aca="false">O100+P99</f>
        <v>222.506735213467</v>
      </c>
      <c r="Q100" s="15" t="n">
        <f aca="false">P100+Q99</f>
        <v>253.527836270611</v>
      </c>
      <c r="R100" s="15" t="n">
        <f aca="false">Q100+R99</f>
        <v>284.720365899184</v>
      </c>
      <c r="S100" s="15" t="n">
        <f aca="false">R100+S99</f>
        <v>315.912895527757</v>
      </c>
      <c r="T100" s="15" t="n">
        <f aca="false">S100+T99</f>
        <v>347.105425156329</v>
      </c>
      <c r="U100" s="15" t="n">
        <f aca="false">T100+U99</f>
        <v>378.297954784902</v>
      </c>
      <c r="V100" s="15" t="n">
        <f aca="false">U100+V99</f>
        <v>409.490484413474</v>
      </c>
      <c r="W100" s="15" t="n">
        <f aca="false">V100+W99</f>
        <v>440.683014042047</v>
      </c>
      <c r="X100" s="15" t="n">
        <f aca="false">W100+X99</f>
        <v>445.835650160579</v>
      </c>
      <c r="Y100" s="15" t="n">
        <f aca="false">X100+Y99</f>
        <v>450.531143421968</v>
      </c>
      <c r="Z100" s="15" t="n">
        <f aca="false">Y100+Z99</f>
        <v>455.226636683357</v>
      </c>
      <c r="AA100" s="15" t="n">
        <f aca="false">Z100+AA99</f>
        <v>459.922129944746</v>
      </c>
      <c r="AB100" s="15" t="n">
        <f aca="false">AA100+AB99</f>
        <v>464.617623206135</v>
      </c>
      <c r="AC100" s="15" t="n">
        <f aca="false">AB100+AC99</f>
        <v>469.313116467524</v>
      </c>
      <c r="AD100" s="15" t="n">
        <f aca="false">AC100+AD99</f>
        <v>473.837181157485</v>
      </c>
      <c r="AE100" s="15" t="n">
        <f aca="false">AD100+AE99</f>
        <v>477.292105725829</v>
      </c>
      <c r="AF100" s="15" t="n">
        <f aca="false">AE100+AF99</f>
        <v>478.660483030841</v>
      </c>
      <c r="AG100" s="15" t="n">
        <f aca="false">AF100+AG99</f>
        <v>479.857431764425</v>
      </c>
      <c r="AH100" s="15" t="n">
        <f aca="false">AG100+AH99</f>
        <v>481.054380498008</v>
      </c>
      <c r="AI100" s="15" t="n">
        <f aca="false">AH100+AI99</f>
        <v>482.251329231592</v>
      </c>
      <c r="AJ100" s="15" t="n">
        <f aca="false">AI100+AJ99</f>
        <v>483.448277965175</v>
      </c>
      <c r="AK100" s="15" t="n">
        <f aca="false">AJ100+AK99</f>
        <v>484.645226698759</v>
      </c>
      <c r="AL100" s="15" t="n">
        <f aca="false">AK100+AL99</f>
        <v>485.842175432342</v>
      </c>
      <c r="AM100" s="15" t="n">
        <f aca="false">AL100+AM99</f>
        <v>485.842175432342</v>
      </c>
      <c r="AN100" s="15" t="n">
        <f aca="false">AM100+AN99</f>
        <v>485.842175432342</v>
      </c>
      <c r="AO100" s="15" t="n">
        <f aca="false">AN100+AO99</f>
        <v>485.842175432342</v>
      </c>
      <c r="AP100" s="15" t="n">
        <f aca="false">AO100+AP99</f>
        <v>485.842175432342</v>
      </c>
      <c r="AQ100" s="15" t="n">
        <f aca="false">AP100+AQ99</f>
        <v>485.842175432342</v>
      </c>
      <c r="AR100" s="15" t="n">
        <f aca="false">AQ100+AR99</f>
        <v>485.842175432342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76.5200649356962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8.53980455389341</v>
      </c>
      <c r="J101" s="15" t="n">
        <f aca="false">J96*Исходные!$C$31*(J94-J100)</f>
        <v>7.93053688167653</v>
      </c>
      <c r="K101" s="15" t="n">
        <f aca="false">K96*Исходные!$C$31*(K94-K100)</f>
        <v>7.32126920945966</v>
      </c>
      <c r="L101" s="15" t="n">
        <f aca="false">L96*Исходные!$C$31*(L94-L100)</f>
        <v>6.71200153724278</v>
      </c>
      <c r="M101" s="15" t="n">
        <f aca="false">M96*Исходные!$C$31*(M94-M100)</f>
        <v>6.1027338650259</v>
      </c>
      <c r="N101" s="15" t="n">
        <f aca="false">N96*Исходные!$C$31*(N94-N100)</f>
        <v>5.55003762138046</v>
      </c>
      <c r="O101" s="15" t="n">
        <f aca="false">O96*Исходные!$C$31*(O94-O100)</f>
        <v>5.2898147607255</v>
      </c>
      <c r="P101" s="15" t="n">
        <f aca="false">P96*Исходные!$C$31*(P94-P100)</f>
        <v>5.34181517416126</v>
      </c>
      <c r="Q101" s="15" t="n">
        <f aca="false">Q96*Исходные!$C$31*(Q94-Q100)</f>
        <v>4.71592237947552</v>
      </c>
      <c r="R101" s="15" t="n">
        <f aca="false">R96*Исходные!$C$31*(R94-R100)</f>
        <v>4.02968672764692</v>
      </c>
      <c r="S101" s="15" t="n">
        <f aca="false">S96*Исходные!$C$31*(S94-S100)</f>
        <v>3.34345107581832</v>
      </c>
      <c r="T101" s="15" t="n">
        <f aca="false">T96*Исходные!$C$31*(T94-T100)</f>
        <v>2.65721542398972</v>
      </c>
      <c r="U101" s="15" t="n">
        <f aca="false">U96*Исходные!$C$31*(U94-U100)</f>
        <v>1.97097977216112</v>
      </c>
      <c r="V101" s="15" t="n">
        <f aca="false">V96*Исходные!$C$31*(V94-V100)</f>
        <v>1.28474412033253</v>
      </c>
      <c r="W101" s="15" t="n">
        <f aca="false">W96*Исходные!$C$31*(W94-W100)</f>
        <v>0.993501550586493</v>
      </c>
      <c r="X101" s="15" t="n">
        <f aca="false">X96*Исходные!$C$31*(X94-X100)</f>
        <v>0.880143555978791</v>
      </c>
      <c r="Y101" s="15" t="n">
        <f aca="false">Y96*Исходные!$C$31*(Y94-Y100)</f>
        <v>0.776842704228232</v>
      </c>
      <c r="Z101" s="15" t="n">
        <f aca="false">Z96*Исходные!$C$31*(Z94-Z100)</f>
        <v>0.673541852477672</v>
      </c>
      <c r="AA101" s="15" t="n">
        <f aca="false">AA96*Исходные!$C$31*(AA94-AA100)</f>
        <v>0.570241000727113</v>
      </c>
      <c r="AB101" s="15" t="n">
        <f aca="false">AB96*Исходные!$C$31*(AB94-AB100)</f>
        <v>0.466940148976554</v>
      </c>
      <c r="AC101" s="15" t="n">
        <f aca="false">AC96*Исходные!$C$31*(AC94-AC100)</f>
        <v>0.363639297225994</v>
      </c>
      <c r="AD101" s="15" t="n">
        <f aca="false">AD96*Исходные!$C$31*(AD94-AD100)</f>
        <v>0.264109874046864</v>
      </c>
      <c r="AE101" s="15" t="n">
        <f aca="false">AE96*Исходные!$C$31*(AE94-AE100)</f>
        <v>0.18810153354329</v>
      </c>
      <c r="AF101" s="15" t="n">
        <f aca="false">AF96*Исходные!$C$31*(AF94-AF100)</f>
        <v>0.157997232833024</v>
      </c>
      <c r="AG101" s="15" t="n">
        <f aca="false">AG96*Исходные!$C$31*(AG94-AG100)</f>
        <v>0.131664360694186</v>
      </c>
      <c r="AH101" s="15" t="n">
        <f aca="false">AH96*Исходные!$C$31*(AH94-AH100)</f>
        <v>0.105331488555348</v>
      </c>
      <c r="AI101" s="15" t="n">
        <f aca="false">AI96*Исходные!$C$31*(AI94-AI100)</f>
        <v>0.0789986164165095</v>
      </c>
      <c r="AJ101" s="15" t="n">
        <f aca="false">AJ96*Исходные!$C$31*(AJ94-AJ100)</f>
        <v>0.0526657442776714</v>
      </c>
      <c r="AK101" s="15" t="n">
        <f aca="false">AK96*Исходные!$C$31*(AK94-AK100)</f>
        <v>0.0263328721388332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1218.25163112424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11.2804248510651</v>
      </c>
      <c r="J102" s="15" t="n">
        <f aca="false">J73-J74-J97-J101</f>
        <v>37.5805523812507</v>
      </c>
      <c r="K102" s="15" t="n">
        <f aca="false">K73-K74-K97-K101</f>
        <v>58.3819917451802</v>
      </c>
      <c r="L102" s="15" t="n">
        <f aca="false">L73-L74-L97-L101</f>
        <v>58.4865367448698</v>
      </c>
      <c r="M102" s="15" t="n">
        <f aca="false">M73-M74-M97-M101</f>
        <v>58.5910817445594</v>
      </c>
      <c r="N102" s="15" t="n">
        <f aca="false">N73-N74-N97-N101</f>
        <v>58.6004838871062</v>
      </c>
      <c r="O102" s="15" t="n">
        <f aca="false">O73-O74-O97-O101</f>
        <v>58.1154275478702</v>
      </c>
      <c r="P102" s="15" t="n">
        <f aca="false">P73-P74-P97-P101</f>
        <v>55.889114921456</v>
      </c>
      <c r="Q102" s="15" t="n">
        <f aca="false">Q73-Q74-Q97-Q101</f>
        <v>55.9766934002089</v>
      </c>
      <c r="R102" s="15" t="n">
        <f aca="false">R73-R74-R97-R101</f>
        <v>56.1631861646762</v>
      </c>
      <c r="S102" s="15" t="n">
        <f aca="false">S73-S74-S97-S101</f>
        <v>56.3496789291434</v>
      </c>
      <c r="T102" s="15" t="n">
        <f aca="false">T73-T74-T97-T101</f>
        <v>56.5361716936106</v>
      </c>
      <c r="U102" s="15" t="n">
        <f aca="false">U73-U74-U97-U101</f>
        <v>56.7378081819373</v>
      </c>
      <c r="V102" s="15" t="n">
        <f aca="false">V73-V74-V97-V101</f>
        <v>52.8732104159229</v>
      </c>
      <c r="W102" s="15" t="n">
        <f aca="false">W73-W74-W97-W101</f>
        <v>48.6593980899917</v>
      </c>
      <c r="X102" s="15" t="n">
        <f aca="false">X73-X74-X97-X101</f>
        <v>44.8302902064299</v>
      </c>
      <c r="Y102" s="15" t="n">
        <f aca="false">Y73-Y74-Y97-Y101</f>
        <v>41.2640948306329</v>
      </c>
      <c r="Z102" s="15" t="n">
        <f aca="false">Z73-Z74-Z97-Z101</f>
        <v>37.9519691498302</v>
      </c>
      <c r="AA102" s="15" t="n">
        <f aca="false">AA73-AA74-AA97-AA101</f>
        <v>34.8763218092658</v>
      </c>
      <c r="AB102" s="15" t="n">
        <f aca="false">AB73-AB74-AB97-AB101</f>
        <v>32.0207794497506</v>
      </c>
      <c r="AC102" s="15" t="n">
        <f aca="false">AC73-AC74-AC97-AC101</f>
        <v>29.3701023757149</v>
      </c>
      <c r="AD102" s="15" t="n">
        <f aca="false">AD73-AD74-AD97-AD101</f>
        <v>26.9063346336908</v>
      </c>
      <c r="AE102" s="15" t="n">
        <f aca="false">AE73-AE74-AE97-AE101</f>
        <v>24.5965241571235</v>
      </c>
      <c r="AF102" s="15" t="n">
        <f aca="false">AF73-AF74-AF97-AF101</f>
        <v>22.4059996890901</v>
      </c>
      <c r="AG102" s="15" t="n">
        <f aca="false">AG73-AG74-AG97-AG101</f>
        <v>20.3654563620437</v>
      </c>
      <c r="AH102" s="15" t="n">
        <f aca="false">AH73-AH74-AH97-AH101</f>
        <v>18.4680200374179</v>
      </c>
      <c r="AI102" s="15" t="n">
        <f aca="false">AI73-AI74-AI97-AI101</f>
        <v>16.7037822290876</v>
      </c>
      <c r="AJ102" s="15" t="n">
        <f aca="false">AJ73-AJ74-AJ97-AJ101</f>
        <v>15.0635204977014</v>
      </c>
      <c r="AK102" s="15" t="n">
        <f aca="false">AK73-AK74-AK97-AK101</f>
        <v>13.5386509499666</v>
      </c>
      <c r="AL102" s="15" t="n">
        <f aca="false">AL73-AL74-AL97-AL101</f>
        <v>12.1211840268026</v>
      </c>
      <c r="AM102" s="15" t="n">
        <f aca="false">AM73-AM74-AM97-AM101</f>
        <v>10.7773504805101</v>
      </c>
      <c r="AN102" s="15" t="n">
        <f aca="false">AN73-AN74-AN97-AN101</f>
        <v>9.52656168969843</v>
      </c>
      <c r="AO102" s="15" t="n">
        <f aca="false">AO73-AO74-AO97-AO101</f>
        <v>8.36237539331038</v>
      </c>
      <c r="AP102" s="15" t="n">
        <f aca="false">AP73-AP74-AP97-AP101</f>
        <v>7.27879538151785</v>
      </c>
      <c r="AQ102" s="15" t="n">
        <f aca="false">AQ73-AQ74-AQ97-AQ101</f>
        <v>6.27024061189108</v>
      </c>
      <c r="AR102" s="15" t="n">
        <f aca="false">AR73-AR74-AR97-AR101</f>
        <v>5.33151646391217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187.091468271113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2.4716418201209</v>
      </c>
      <c r="K103" s="15" t="n">
        <f aca="false">MAX(0,K102-K99)*Исходные!$C$30</f>
        <v>7.67200166110329</v>
      </c>
      <c r="L103" s="15" t="n">
        <f aca="false">MAX(0,L102-L99)*Исходные!$C$30</f>
        <v>7.69813791102568</v>
      </c>
      <c r="M103" s="15" t="n">
        <f aca="false">MAX(0,M102-M99)*Исходные!$C$30</f>
        <v>7.72427416094808</v>
      </c>
      <c r="N103" s="15" t="n">
        <f aca="false">MAX(0,N102-N99)*Исходные!$C$30</f>
        <v>7.72662469658477</v>
      </c>
      <c r="O103" s="15" t="n">
        <f aca="false">MAX(0,O102-O99)*Исходные!$C$30</f>
        <v>7.56250346891863</v>
      </c>
      <c r="P103" s="15" t="n">
        <f aca="false">MAX(0,P102-P99)*Исходные!$C$30</f>
        <v>6.73864028191103</v>
      </c>
      <c r="Q103" s="15" t="n">
        <f aca="false">MAX(0,Q102-Q99)*Исходные!$C$30</f>
        <v>6.23889808576622</v>
      </c>
      <c r="R103" s="15" t="n">
        <f aca="false">MAX(0,R102-R99)*Исходные!$C$30</f>
        <v>6.24266413402589</v>
      </c>
      <c r="S103" s="15" t="n">
        <f aca="false">MAX(0,S102-S99)*Исходные!$C$30</f>
        <v>6.28928732514269</v>
      </c>
      <c r="T103" s="15" t="n">
        <f aca="false">MAX(0,T102-T99)*Исходные!$C$30</f>
        <v>6.3359105162595</v>
      </c>
      <c r="U103" s="15" t="n">
        <f aca="false">MAX(0,U102-U99)*Исходные!$C$30</f>
        <v>6.38631963834117</v>
      </c>
      <c r="V103" s="15" t="n">
        <f aca="false">MAX(0,V102-V99)*Исходные!$C$30</f>
        <v>5.42017019683758</v>
      </c>
      <c r="W103" s="15" t="n">
        <f aca="false">MAX(0,W102-W99)*Исходные!$C$30</f>
        <v>4.36671711535476</v>
      </c>
      <c r="X103" s="15" t="n">
        <f aca="false">MAX(0,X102-X99)*Исходные!$C$30</f>
        <v>9.91941352197449</v>
      </c>
      <c r="Y103" s="15" t="n">
        <f aca="false">MAX(0,Y102-Y99)*Исходные!$C$30</f>
        <v>9.14215039231095</v>
      </c>
      <c r="Z103" s="15" t="n">
        <f aca="false">MAX(0,Z102-Z99)*Исходные!$C$30</f>
        <v>8.31411897211028</v>
      </c>
      <c r="AA103" s="15" t="n">
        <f aca="false">MAX(0,AA102-AA99)*Исходные!$C$30</f>
        <v>7.54520713696919</v>
      </c>
      <c r="AB103" s="15" t="n">
        <f aca="false">MAX(0,AB102-AB99)*Исходные!$C$30</f>
        <v>6.83132154709039</v>
      </c>
      <c r="AC103" s="15" t="n">
        <f aca="false">MAX(0,AC102-AC99)*Исходные!$C$30</f>
        <v>6.16865227858145</v>
      </c>
      <c r="AD103" s="15" t="n">
        <f aca="false">MAX(0,AD102-AD99)*Исходные!$C$30</f>
        <v>5.59556748593258</v>
      </c>
      <c r="AE103" s="15" t="n">
        <f aca="false">MAX(0,AE102-AE99)*Исходные!$C$30</f>
        <v>5.28539989719482</v>
      </c>
      <c r="AF103" s="15" t="n">
        <f aca="false">MAX(0,AF102-AF99)*Исходные!$C$30</f>
        <v>5.25940559601951</v>
      </c>
      <c r="AG103" s="15" t="n">
        <f aca="false">MAX(0,AG102-AG99)*Исходные!$C$30</f>
        <v>4.79212690711504</v>
      </c>
      <c r="AH103" s="15" t="n">
        <f aca="false">MAX(0,AH102-AH99)*Исходные!$C$30</f>
        <v>4.31776782595858</v>
      </c>
      <c r="AI103" s="15" t="n">
        <f aca="false">MAX(0,AI102-AI99)*Исходные!$C$30</f>
        <v>3.87670837387602</v>
      </c>
      <c r="AJ103" s="15" t="n">
        <f aca="false">MAX(0,AJ102-AJ99)*Исходные!$C$30</f>
        <v>3.46664294102948</v>
      </c>
      <c r="AK103" s="15" t="n">
        <f aca="false">MAX(0,AK102-AK99)*Исходные!$C$30</f>
        <v>3.08542555409576</v>
      </c>
      <c r="AL103" s="15" t="n">
        <f aca="false">MAX(0,AL102-AL99)*Исходные!$C$30</f>
        <v>2.73105882330477</v>
      </c>
      <c r="AM103" s="15" t="n">
        <f aca="false">MAX(0,AM102-AM99)*Исходные!$C$30</f>
        <v>2.69433762012754</v>
      </c>
      <c r="AN103" s="15" t="n">
        <f aca="false">MAX(0,AN102-AN99)*Исходные!$C$30</f>
        <v>2.38164042242461</v>
      </c>
      <c r="AO103" s="15" t="n">
        <f aca="false">MAX(0,AO102-AO99)*Исходные!$C$30</f>
        <v>2.09059384832759</v>
      </c>
      <c r="AP103" s="15" t="n">
        <f aca="false">MAX(0,AP102-AP99)*Исходные!$C$30</f>
        <v>1.81969884537946</v>
      </c>
      <c r="AQ103" s="15" t="n">
        <f aca="false">MAX(0,AQ102-AQ99)*Исходные!$C$30</f>
        <v>1.56756015297277</v>
      </c>
      <c r="AR103" s="15" t="n">
        <f aca="false">MAX(0,AR102-AR99)*Исходные!$C$30</f>
        <v>1.33287911597804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545.317987420781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-165.770676018363</v>
      </c>
      <c r="H105" s="15" t="n">
        <f aca="false">H102-H103-H93</f>
        <v>-150.883096338149</v>
      </c>
      <c r="I105" s="15" t="n">
        <f aca="false">I102-I103-I93</f>
        <v>4.42328199392223</v>
      </c>
      <c r="J105" s="15" t="n">
        <f aca="false">J102-J103-J93</f>
        <v>35.1089105611298</v>
      </c>
      <c r="K105" s="15" t="n">
        <f aca="false">K102-K103-K93</f>
        <v>50.709990084077</v>
      </c>
      <c r="L105" s="15" t="n">
        <f aca="false">L102-L103-L93</f>
        <v>50.7883988338442</v>
      </c>
      <c r="M105" s="15" t="n">
        <f aca="false">M102-M103-M93</f>
        <v>50.8668075836113</v>
      </c>
      <c r="N105" s="15" t="n">
        <f aca="false">N102-N103-N93</f>
        <v>48.3024306190928</v>
      </c>
      <c r="O105" s="15" t="n">
        <f aca="false">O102-O103-O93</f>
        <v>34.5158222547083</v>
      </c>
      <c r="P105" s="15" t="n">
        <f aca="false">P102-P103-P93</f>
        <v>17.8522656895624</v>
      </c>
      <c r="Q105" s="15" t="n">
        <f aca="false">Q102-Q103-Q93</f>
        <v>47.1663667430142</v>
      </c>
      <c r="R105" s="15" t="n">
        <f aca="false">R102-R103-R93</f>
        <v>49.9205220306503</v>
      </c>
      <c r="S105" s="15" t="n">
        <f aca="false">S102-S103-S93</f>
        <v>50.0603916040007</v>
      </c>
      <c r="T105" s="15" t="n">
        <f aca="false">T102-T103-T93</f>
        <v>50.2002611773511</v>
      </c>
      <c r="U105" s="15" t="n">
        <f aca="false">U102-U103-U93</f>
        <v>50.3514885435961</v>
      </c>
      <c r="V105" s="15" t="n">
        <f aca="false">V102-V103-V93</f>
        <v>47.4530402190854</v>
      </c>
      <c r="W105" s="15" t="n">
        <f aca="false">W102-W103-W93</f>
        <v>26.338449970884</v>
      </c>
      <c r="X105" s="15" t="n">
        <f aca="false">X102-X103-X93</f>
        <v>34.9108766844554</v>
      </c>
      <c r="Y105" s="15" t="n">
        <f aca="false">Y102-Y103-Y93</f>
        <v>32.1219444383219</v>
      </c>
      <c r="Z105" s="15" t="n">
        <f aca="false">Z102-Z103-Z93</f>
        <v>29.6378501777199</v>
      </c>
      <c r="AA105" s="15" t="n">
        <f aca="false">AA102-AA103-AA93</f>
        <v>27.3311146722966</v>
      </c>
      <c r="AB105" s="15" t="n">
        <f aca="false">AB102-AB103-AB93</f>
        <v>25.1894579026602</v>
      </c>
      <c r="AC105" s="15" t="n">
        <f aca="false">AC102-AC103-AC93</f>
        <v>23.2014500971334</v>
      </c>
      <c r="AD105" s="15" t="n">
        <f aca="false">AD102-AD103-AD93</f>
        <v>21.3107671477582</v>
      </c>
      <c r="AE105" s="15" t="n">
        <f aca="false">AE102-AE103-AE93</f>
        <v>19.3111242599287</v>
      </c>
      <c r="AF105" s="15" t="n">
        <f aca="false">AF102-AF103-AF93</f>
        <v>17.1465940930706</v>
      </c>
      <c r="AG105" s="15" t="n">
        <f aca="false">AG102-AG103-AG93</f>
        <v>15.5733294549287</v>
      </c>
      <c r="AH105" s="15" t="n">
        <f aca="false">AH102-AH103-AH93</f>
        <v>14.1502522114593</v>
      </c>
      <c r="AI105" s="15" t="n">
        <f aca="false">AI102-AI103-AI93</f>
        <v>12.8270738552116</v>
      </c>
      <c r="AJ105" s="15" t="n">
        <f aca="false">AJ102-AJ103-AJ93</f>
        <v>11.596877556672</v>
      </c>
      <c r="AK105" s="15" t="n">
        <f aca="false">AK102-AK103-AK93</f>
        <v>10.4532253958708</v>
      </c>
      <c r="AL105" s="15" t="n">
        <f aca="false">AL102-AL103-AL93</f>
        <v>9.39012520349784</v>
      </c>
      <c r="AM105" s="15" t="n">
        <f aca="false">AM102-AM103-AM93</f>
        <v>8.08301286038261</v>
      </c>
      <c r="AN105" s="15" t="n">
        <f aca="false">AN102-AN103-AN93</f>
        <v>7.14492126727382</v>
      </c>
      <c r="AO105" s="15" t="n">
        <f aca="false">AO102-AO103-AO93</f>
        <v>6.27178154498278</v>
      </c>
      <c r="AP105" s="15" t="n">
        <f aca="false">AP102-AP103-AP93</f>
        <v>5.45909653613839</v>
      </c>
      <c r="AQ105" s="15" t="n">
        <f aca="false">AQ102-AQ103-AQ93</f>
        <v>4.70268045891831</v>
      </c>
      <c r="AR105" s="15" t="n">
        <f aca="false">AR102-AR103-AR93</f>
        <v>3.99863734793413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-75.2597325028052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-130.624907419389</v>
      </c>
      <c r="H107" s="15" t="n">
        <f aca="false">H105*H106</f>
        <v>-108.085189863233</v>
      </c>
      <c r="I107" s="15" t="n">
        <f aca="false">I105*I106</f>
        <v>2.88056410278567</v>
      </c>
      <c r="J107" s="15" t="n">
        <f aca="false">J105*J106</f>
        <v>20.7853616365044</v>
      </c>
      <c r="K107" s="15" t="n">
        <f aca="false">K105*K106</f>
        <v>27.292358798925</v>
      </c>
      <c r="L107" s="15" t="n">
        <f aca="false">L105*L106</f>
        <v>24.8495988749495</v>
      </c>
      <c r="M107" s="15" t="n">
        <f aca="false">M105*M106</f>
        <v>22.6254204346809</v>
      </c>
      <c r="N107" s="15" t="n">
        <f aca="false">N105*N106</f>
        <v>19.5316294507806</v>
      </c>
      <c r="O107" s="15" t="n">
        <f aca="false">O105*O106</f>
        <v>12.688054331981</v>
      </c>
      <c r="P107" s="15" t="n">
        <f aca="false">P105*P106</f>
        <v>5.96592050784976</v>
      </c>
      <c r="Q107" s="15" t="n">
        <f aca="false">Q105*Q106</f>
        <v>14.329263173145</v>
      </c>
      <c r="R107" s="15" t="n">
        <f aca="false">R105*R106</f>
        <v>13.7872569204279</v>
      </c>
      <c r="S107" s="15" t="n">
        <f aca="false">S105*S106</f>
        <v>12.5689878905335</v>
      </c>
      <c r="T107" s="15" t="n">
        <f aca="false">T105*T106</f>
        <v>11.4582780485503</v>
      </c>
      <c r="U107" s="15" t="n">
        <f aca="false">U105*U106</f>
        <v>10.4479962736858</v>
      </c>
      <c r="V107" s="15" t="n">
        <f aca="false">V105*V106</f>
        <v>8.95142241298734</v>
      </c>
      <c r="W107" s="15" t="n">
        <f aca="false">W105*W106</f>
        <v>4.51674463665378</v>
      </c>
      <c r="X107" s="15" t="n">
        <f aca="false">X105*X106</f>
        <v>5.44256211666033</v>
      </c>
      <c r="Y107" s="15" t="n">
        <f aca="false">Y105*Y106</f>
        <v>4.55251914477318</v>
      </c>
      <c r="Z107" s="15" t="n">
        <f aca="false">Z105*Z106</f>
        <v>3.81859823424579</v>
      </c>
      <c r="AA107" s="15" t="n">
        <f aca="false">AA105*AA106</f>
        <v>3.20126722484254</v>
      </c>
      <c r="AB107" s="15" t="n">
        <f aca="false">AB105*AB106</f>
        <v>2.68219729392335</v>
      </c>
      <c r="AC107" s="15" t="n">
        <f aca="false">AC105*AC106</f>
        <v>2.24592031194911</v>
      </c>
      <c r="AD107" s="15" t="n">
        <f aca="false">AD105*AD106</f>
        <v>1.87536416121294</v>
      </c>
      <c r="AE107" s="15" t="n">
        <f aca="false">AE105*AE106</f>
        <v>1.54490365869561</v>
      </c>
      <c r="AF107" s="15" t="n">
        <f aca="false">AF105*AF106</f>
        <v>1.24703609795053</v>
      </c>
      <c r="AG107" s="15" t="n">
        <f aca="false">AG105*AG106</f>
        <v>1.02965075959157</v>
      </c>
      <c r="AH107" s="15" t="n">
        <f aca="false">AH105*AH106</f>
        <v>0.850511065910846</v>
      </c>
      <c r="AI107" s="15" t="n">
        <f aca="false">AI105*AI106</f>
        <v>0.700891346418306</v>
      </c>
      <c r="AJ107" s="15" t="n">
        <f aca="false">AJ105*AJ106</f>
        <v>0.576064999610295</v>
      </c>
      <c r="AK107" s="15" t="n">
        <f aca="false">AK105*AK106</f>
        <v>0.472050049222414</v>
      </c>
      <c r="AL107" s="15" t="n">
        <f aca="false">AL105*AL106</f>
        <v>0.38549294131714</v>
      </c>
      <c r="AM107" s="15" t="n">
        <f aca="false">AM105*AM106</f>
        <v>0.301665490920811</v>
      </c>
      <c r="AN107" s="15" t="n">
        <f aca="false">AN105*AN106</f>
        <v>0.242413679933953</v>
      </c>
      <c r="AO107" s="15" t="n">
        <f aca="false">AO105*AO106</f>
        <v>0.193445180682514</v>
      </c>
      <c r="AP107" s="15" t="n">
        <f aca="false">AP105*AP106</f>
        <v>0.153071761801422</v>
      </c>
      <c r="AQ107" s="15" t="n">
        <f aca="false">AQ105*AQ106</f>
        <v>0.11987457802528</v>
      </c>
      <c r="AR107" s="15" t="n">
        <f aca="false">AR105*AR106</f>
        <v>0.0926618473611352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-211.581562079061</v>
      </c>
      <c r="H108" s="15" t="n">
        <f aca="false">G108+H107</f>
        <v>-319.666751942295</v>
      </c>
      <c r="I108" s="15" t="n">
        <f aca="false">H108+I107</f>
        <v>-316.786187839509</v>
      </c>
      <c r="J108" s="15" t="n">
        <f aca="false">I108+J107</f>
        <v>-296.000826203005</v>
      </c>
      <c r="K108" s="15" t="n">
        <f aca="false">J108+K107</f>
        <v>-268.70846740408</v>
      </c>
      <c r="L108" s="15" t="n">
        <f aca="false">K108+L107</f>
        <v>-243.85886852913</v>
      </c>
      <c r="M108" s="15" t="n">
        <f aca="false">L108+M107</f>
        <v>-221.233448094449</v>
      </c>
      <c r="N108" s="15" t="n">
        <f aca="false">M108+N107</f>
        <v>-201.701818643669</v>
      </c>
      <c r="O108" s="15" t="n">
        <f aca="false">N108+O107</f>
        <v>-189.013764311688</v>
      </c>
      <c r="P108" s="15" t="n">
        <f aca="false">O108+P107</f>
        <v>-183.047843803838</v>
      </c>
      <c r="Q108" s="15" t="n">
        <f aca="false">P108+Q107</f>
        <v>-168.718580630693</v>
      </c>
      <c r="R108" s="15" t="n">
        <f aca="false">Q108+R107</f>
        <v>-154.931323710265</v>
      </c>
      <c r="S108" s="15" t="n">
        <f aca="false">R108+S107</f>
        <v>-142.362335819731</v>
      </c>
      <c r="T108" s="15" t="n">
        <f aca="false">S108+T107</f>
        <v>-130.904057771181</v>
      </c>
      <c r="U108" s="15" t="n">
        <f aca="false">T108+U107</f>
        <v>-120.456061497495</v>
      </c>
      <c r="V108" s="15" t="n">
        <f aca="false">U108+V107</f>
        <v>-111.504639084508</v>
      </c>
      <c r="W108" s="15" t="n">
        <f aca="false">V108+W107</f>
        <v>-106.987894447854</v>
      </c>
      <c r="X108" s="15" t="n">
        <f aca="false">W108+X107</f>
        <v>-101.545332331194</v>
      </c>
      <c r="Y108" s="15" t="n">
        <f aca="false">X108+Y107</f>
        <v>-96.9928131864208</v>
      </c>
      <c r="Z108" s="15" t="n">
        <f aca="false">Y108+Z107</f>
        <v>-93.174214952175</v>
      </c>
      <c r="AA108" s="15" t="n">
        <f aca="false">Z108+AA107</f>
        <v>-89.9729477273325</v>
      </c>
      <c r="AB108" s="15" t="n">
        <f aca="false">AA108+AB107</f>
        <v>-87.2907504334091</v>
      </c>
      <c r="AC108" s="15" t="n">
        <f aca="false">AB108+AC107</f>
        <v>-85.04483012146</v>
      </c>
      <c r="AD108" s="15" t="n">
        <f aca="false">AC108+AD107</f>
        <v>-83.1694659602471</v>
      </c>
      <c r="AE108" s="15" t="n">
        <f aca="false">AD108+AE107</f>
        <v>-81.6245623015514</v>
      </c>
      <c r="AF108" s="15" t="n">
        <f aca="false">AE108+AF107</f>
        <v>-80.3775262036009</v>
      </c>
      <c r="AG108" s="15" t="n">
        <f aca="false">AF108+AG107</f>
        <v>-79.3478754440093</v>
      </c>
      <c r="AH108" s="15" t="n">
        <f aca="false">AG108+AH107</f>
        <v>-78.4973643780985</v>
      </c>
      <c r="AI108" s="15" t="n">
        <f aca="false">AH108+AI107</f>
        <v>-77.7964730316802</v>
      </c>
      <c r="AJ108" s="15" t="n">
        <f aca="false">AI108+AJ107</f>
        <v>-77.2204080320699</v>
      </c>
      <c r="AK108" s="15" t="n">
        <f aca="false">AJ108+AK107</f>
        <v>-76.7483579828475</v>
      </c>
      <c r="AL108" s="15" t="n">
        <f aca="false">AK108+AL107</f>
        <v>-76.3628650415303</v>
      </c>
      <c r="AM108" s="15" t="n">
        <f aca="false">AL108+AM107</f>
        <v>-76.0611995506095</v>
      </c>
      <c r="AN108" s="15" t="n">
        <f aca="false">AM108+AN107</f>
        <v>-75.8187858706756</v>
      </c>
      <c r="AO108" s="15" t="n">
        <f aca="false">AN108+AO107</f>
        <v>-75.625340689993</v>
      </c>
      <c r="AP108" s="15" t="n">
        <f aca="false">AO108+AP107</f>
        <v>-75.4722689281916</v>
      </c>
      <c r="AQ108" s="15" t="n">
        <f aca="false">AP108+AQ107</f>
        <v>-75.3523943501663</v>
      </c>
      <c r="AR108" s="15" t="n">
        <f aca="false">AQ108+AR107</f>
        <v>-75.2597325028052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0</v>
      </c>
      <c r="AB109" s="40" t="n">
        <f aca="false">IF(OR(AA109=1,AND(AB108&gt;0,AB46&gt;2031)),1,0)</f>
        <v>0</v>
      </c>
      <c r="AC109" s="40" t="n">
        <f aca="false">IF(OR(AB109=1,AND(AC108&gt;0,AC46&gt;2031)),1,0)</f>
        <v>0</v>
      </c>
      <c r="AD109" s="40" t="n">
        <f aca="false">IF(OR(AC109=1,AND(AD108&gt;0,AD46&gt;2031)),1,0)</f>
        <v>0</v>
      </c>
      <c r="AE109" s="40" t="n">
        <f aca="false">IF(OR(AD109=1,AND(AE108&gt;0,AE46&gt;2031)),1,0)</f>
        <v>0</v>
      </c>
      <c r="AF109" s="40" t="n">
        <f aca="false">IF(OR(AE109=1,AND(AF108&gt;0,AF46&gt;2031)),1,0)</f>
        <v>0</v>
      </c>
      <c r="AG109" s="40" t="n">
        <f aca="false">IF(OR(AF109=1,AND(AG108&gt;0,AG46&gt;2031)),1,0)</f>
        <v>0</v>
      </c>
      <c r="AH109" s="40" t="n">
        <f aca="false">IF(OR(AG109=1,AND(AH108&gt;0,AH46&gt;2031)),1,0)</f>
        <v>0</v>
      </c>
      <c r="AI109" s="40" t="n">
        <f aca="false">IF(OR(AH109=1,AND(AI108&gt;0,AI46&gt;2031)),1,0)</f>
        <v>0</v>
      </c>
      <c r="AJ109" s="40" t="n">
        <f aca="false">IF(OR(AI109=1,AND(AJ108&gt;0,AJ46&gt;2031)),1,0)</f>
        <v>0</v>
      </c>
      <c r="AK109" s="40" t="n">
        <f aca="false">IF(OR(AJ109=1,AND(AK108&gt;0,AK46&gt;2031)),1,0)</f>
        <v>0</v>
      </c>
      <c r="AL109" s="40" t="n">
        <f aca="false">IF(OR(AK109=1,AND(AL108&gt;0,AL46&gt;2031)),1,0)</f>
        <v>0</v>
      </c>
      <c r="AM109" s="40" t="n">
        <f aca="false">IF(OR(AL109=1,AND(AM108&gt;0,AM46&gt;2031)),1,0)</f>
        <v>0</v>
      </c>
      <c r="AN109" s="40" t="n">
        <f aca="false">IF(OR(AM109=1,AND(AN108&gt;0,AN46&gt;2031)),1,0)</f>
        <v>0</v>
      </c>
      <c r="AO109" s="40" t="n">
        <f aca="false">IF(OR(AN109=1,AND(AO108&gt;0,AO46&gt;2031)),1,0)</f>
        <v>0</v>
      </c>
      <c r="AP109" s="40" t="n">
        <f aca="false">IF(OR(AO109=1,AND(AP108&gt;0,AP46&gt;2031)),1,0)</f>
        <v>0</v>
      </c>
      <c r="AQ109" s="40" t="n">
        <f aca="false">IF(OR(AP109=1,AND(AQ108&gt;0,AQ46&gt;2031)),1,0)</f>
        <v>0</v>
      </c>
      <c r="AR109" s="40" t="n">
        <f aca="false">IF(OR(AQ109=1,AND(AR108&gt;0,AR46&gt;2031)),1,0)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417</v>
      </c>
    </row>
    <row r="3" customFormat="false" ht="15" hidden="false" customHeight="false" outlineLevel="0" collapsed="false">
      <c r="B3" s="2" t="s">
        <v>418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16.893082825978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0.108164714661836</v>
      </c>
    </row>
    <row r="7" customFormat="false" ht="15" hidden="false" customHeight="false" outlineLevel="0" collapsed="false">
      <c r="B7" s="8" t="s">
        <v>32</v>
      </c>
      <c r="C7" s="40" t="n">
        <f aca="false">IF(SUM(E109:AR109)=0,"нет",2067-SUM(E109:AR109))</f>
        <v>2049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1.0677063056955</v>
      </c>
    </row>
    <row r="9" customFormat="false" ht="15" hidden="false" customHeight="false" outlineLevel="0" collapsed="false">
      <c r="B9" s="8" t="s">
        <v>34</v>
      </c>
      <c r="C9" s="41" t="n">
        <f aca="false">D93</f>
        <v>351.544393226489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Сценарии!$G$6</f>
        <v>T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Сценарии!$G$7</f>
        <v>T0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Сценарии!$G$8</f>
        <v>0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Сценарии!$G$9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Сценарии!$G$10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Сценарии!$G$11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Сценарии!$G$12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Сценарии!$G$13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Сценарии!$G$14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Сценарии!$G$15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Сценарии!$G$16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Сценарии!$G$17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Сценарии!$G$18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Сценарии!$G$19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Сценарии!$G$20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Сценарии!$G$21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Сценарии!$G$22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Сценарии!$G$23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Сценарии!$G$24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41.3344884872284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988.429214607304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36.5653039339633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5201.39108111017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0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</v>
      </c>
      <c r="L59" s="54" t="n">
        <f aca="false">IF(AND($D$17=1,L46&gt;=Исходные!$C$42,L52&gt;0),$D$44,0)</f>
        <v>0</v>
      </c>
      <c r="M59" s="54" t="n">
        <f aca="false">IF(AND($D$17=1,M46&gt;=Исходные!$C$42,M52&gt;0),$D$44,0)</f>
        <v>0</v>
      </c>
      <c r="N59" s="54" t="n">
        <f aca="false">IF(AND($D$17=1,N46&gt;=Исходные!$C$42,N52&gt;0),$D$44,0)</f>
        <v>0</v>
      </c>
      <c r="O59" s="54" t="n">
        <f aca="false">IF(AND($D$17=1,O46&gt;=Исходные!$C$42,O52&gt;0),$D$44,0)</f>
        <v>0</v>
      </c>
      <c r="P59" s="54" t="n">
        <f aca="false">IF(AND($D$17=1,P46&gt;=Исходные!$C$42,P52&gt;0),$D$44,0)</f>
        <v>0</v>
      </c>
      <c r="Q59" s="54" t="n">
        <f aca="false">IF(AND($D$17=1,Q46&gt;=Исходные!$C$42,Q52&gt;0),$D$44,0)</f>
        <v>0</v>
      </c>
      <c r="R59" s="54" t="n">
        <f aca="false">IF(AND($D$17=1,R46&gt;=Исходные!$C$42,R52&gt;0),$D$44,0)</f>
        <v>0</v>
      </c>
      <c r="S59" s="54" t="n">
        <f aca="false">IF(AND($D$17=1,S46&gt;=Исходные!$C$42,S52&gt;0),$D$44,0)</f>
        <v>0</v>
      </c>
      <c r="T59" s="54" t="n">
        <f aca="false">IF(AND($D$17=1,T46&gt;=Исходные!$C$42,T52&gt;0),$D$44,0)</f>
        <v>0</v>
      </c>
      <c r="U59" s="54" t="n">
        <f aca="false">IF(AND($D$17=1,U46&gt;=Исходные!$C$42,U52&gt;0),$D$44,0)</f>
        <v>0</v>
      </c>
      <c r="V59" s="54" t="n">
        <f aca="false">IF(AND($D$17=1,V46&gt;=Исходные!$C$42,V52&gt;0),$D$44,0)</f>
        <v>0</v>
      </c>
      <c r="W59" s="54" t="n">
        <f aca="false">IF(AND($D$17=1,W46&gt;=Исходные!$C$42,W52&gt;0),$D$44,0)</f>
        <v>0</v>
      </c>
      <c r="X59" s="54" t="n">
        <f aca="false">IF(AND($D$17=1,X46&gt;=Исходные!$C$42,X52&gt;0),$D$44,0)</f>
        <v>0</v>
      </c>
      <c r="Y59" s="54" t="n">
        <f aca="false">IF(AND($D$17=1,Y46&gt;=Исходные!$C$42,Y52&gt;0),$D$44,0)</f>
        <v>0</v>
      </c>
      <c r="Z59" s="54" t="n">
        <f aca="false">IF(AND($D$17=1,Z46&gt;=Исходные!$C$42,Z52&gt;0),$D$44,0)</f>
        <v>0</v>
      </c>
      <c r="AA59" s="54" t="n">
        <f aca="false">IF(AND($D$17=1,AA46&gt;=Исходные!$C$42,AA52&gt;0),$D$44,0)</f>
        <v>0</v>
      </c>
      <c r="AB59" s="54" t="n">
        <f aca="false">IF(AND($D$17=1,AB46&gt;=Исходные!$C$42,AB52&gt;0),$D$44,0)</f>
        <v>0</v>
      </c>
      <c r="AC59" s="54" t="n">
        <f aca="false">IF(AND($D$17=1,AC46&gt;=Исходные!$C$42,AC52&gt;0),$D$44,0)</f>
        <v>0</v>
      </c>
      <c r="AD59" s="54" t="n">
        <f aca="false">IF(AND($D$17=1,AD46&gt;=Исходные!$C$42,AD52&gt;0),$D$44,0)</f>
        <v>0</v>
      </c>
      <c r="AE59" s="54" t="n">
        <f aca="false">IF(AND($D$17=1,AE46&gt;=Исходные!$C$42,AE52&gt;0),$D$44,0)</f>
        <v>0</v>
      </c>
      <c r="AF59" s="54" t="n">
        <f aca="false">IF(AND($D$17=1,AF46&gt;=Исходные!$C$42,AF52&gt;0),$D$44,0)</f>
        <v>0</v>
      </c>
      <c r="AG59" s="54" t="n">
        <f aca="false">IF(AND($D$17=1,AG46&gt;=Исходные!$C$42,AG52&gt;0),$D$44,0)</f>
        <v>0</v>
      </c>
      <c r="AH59" s="54" t="n">
        <f aca="false">IF(AND($D$17=1,AH46&gt;=Исходные!$C$42,AH52&gt;0),$D$44,0)</f>
        <v>0</v>
      </c>
      <c r="AI59" s="54" t="n">
        <f aca="false">IF(AND($D$17=1,AI46&gt;=Исходные!$C$42,AI52&gt;0),$D$44,0)</f>
        <v>0</v>
      </c>
      <c r="AJ59" s="54" t="n">
        <f aca="false">IF(AND($D$17=1,AJ46&gt;=Исходные!$C$42,AJ52&gt;0),$D$44,0)</f>
        <v>0</v>
      </c>
      <c r="AK59" s="54" t="n">
        <f aca="false">IF(AND($D$17=1,AK46&gt;=Исходные!$C$42,AK52&gt;0),$D$44,0)</f>
        <v>0</v>
      </c>
      <c r="AL59" s="54" t="n">
        <f aca="false">IF(AND($D$17=1,AL46&gt;=Исходные!$C$42,AL52&gt;0),$D$44,0)</f>
        <v>0</v>
      </c>
      <c r="AM59" s="54" t="n">
        <f aca="false">IF(AND($D$17=1,AM46&gt;=Исходные!$C$42,AM52&gt;0),$D$44,0)</f>
        <v>0</v>
      </c>
      <c r="AN59" s="54" t="n">
        <f aca="false">IF(AND($D$17=1,AN46&gt;=Исходные!$C$42,AN52&gt;0),$D$44,0)</f>
        <v>0</v>
      </c>
      <c r="AO59" s="54" t="n">
        <f aca="false">IF(AND($D$17=1,AO46&gt;=Исходные!$C$42,AO52&gt;0),$D$44,0)</f>
        <v>0</v>
      </c>
      <c r="AP59" s="54" t="n">
        <f aca="false">IF(AND($D$17=1,AP46&gt;=Исходные!$C$42,AP52&gt;0),$D$44,0)</f>
        <v>0</v>
      </c>
      <c r="AQ59" s="54" t="n">
        <f aca="false">IF(AND($D$17=1,AQ46&gt;=Исходные!$C$42,AQ52&gt;0),$D$44,0)</f>
        <v>0</v>
      </c>
      <c r="AR59" s="54" t="n">
        <f aca="false">IF(AND($D$17=1,AR46&gt;=Исходные!$C$42,AR52&gt;0),$D$44,0)</f>
        <v>0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263.5757184093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4.15140270135068</v>
      </c>
      <c r="J60" s="15" t="n">
        <f aca="false">J58*$D$37/1000-J59</f>
        <v>8.30280540270135</v>
      </c>
      <c r="K60" s="15" t="n">
        <f aca="false">K58*$D$37/1000-K59</f>
        <v>11.6239275637819</v>
      </c>
      <c r="L60" s="15" t="n">
        <f aca="false">L58*$D$37/1000-L59</f>
        <v>11.6239275637819</v>
      </c>
      <c r="M60" s="15" t="n">
        <f aca="false">M58*$D$37/1000-M59</f>
        <v>11.6239275637819</v>
      </c>
      <c r="N60" s="15" t="n">
        <f aca="false">N58*$D$37/1000-N59</f>
        <v>11.6239275637819</v>
      </c>
      <c r="O60" s="15" t="n">
        <f aca="false">O58*$D$37/1000-O59</f>
        <v>11.6239275637819</v>
      </c>
      <c r="P60" s="15" t="n">
        <f aca="false">P58*$D$37/1000-P59</f>
        <v>11.4460103051526</v>
      </c>
      <c r="Q60" s="15" t="n">
        <f aca="false">Q58*$D$37/1000-Q59</f>
        <v>11.4460103051526</v>
      </c>
      <c r="R60" s="15" t="n">
        <f aca="false">R58*$D$37/1000-R59</f>
        <v>11.4460103051526</v>
      </c>
      <c r="S60" s="15" t="n">
        <f aca="false">S58*$D$37/1000-S59</f>
        <v>11.4460103051526</v>
      </c>
      <c r="T60" s="15" t="n">
        <f aca="false">T58*$D$37/1000-T59</f>
        <v>11.4460103051526</v>
      </c>
      <c r="U60" s="15" t="n">
        <f aca="false">U58*$D$37/1000-U59</f>
        <v>11.4460103051526</v>
      </c>
      <c r="V60" s="15" t="n">
        <f aca="false">V58*$D$37/1000-V59</f>
        <v>10.6535079651037</v>
      </c>
      <c r="W60" s="15" t="n">
        <f aca="false">W58*$D$37/1000-W59</f>
        <v>9.91587714292333</v>
      </c>
      <c r="X60" s="15" t="n">
        <f aca="false">X58*$D$37/1000-X59</f>
        <v>9.22931862778145</v>
      </c>
      <c r="Y60" s="15" t="n">
        <f aca="false">Y58*$D$37/1000-Y59</f>
        <v>8.59029625976199</v>
      </c>
      <c r="Z60" s="15" t="n">
        <f aca="false">Z58*$D$37/1000-Z59</f>
        <v>7.99551871666384</v>
      </c>
      <c r="AA60" s="15" t="n">
        <f aca="false">AA58*$D$37/1000-AA59</f>
        <v>7.44192256185272</v>
      </c>
      <c r="AB60" s="15" t="n">
        <f aca="false">AB58*$D$37/1000-AB59</f>
        <v>6.92665646585103</v>
      </c>
      <c r="AC60" s="15" t="n">
        <f aca="false">AC58*$D$37/1000-AC59</f>
        <v>6.4470665203981</v>
      </c>
      <c r="AD60" s="15" t="n">
        <f aca="false">AD58*$D$37/1000-AD59</f>
        <v>6.00068256933994</v>
      </c>
      <c r="AE60" s="15" t="n">
        <f aca="false">AE58*$D$37/1000-AE59</f>
        <v>5.58520548594505</v>
      </c>
      <c r="AF60" s="15" t="n">
        <f aca="false">AF58*$D$37/1000-AF59</f>
        <v>5.19849533111731</v>
      </c>
      <c r="AG60" s="15" t="n">
        <f aca="false">AG58*$D$37/1000-AG59</f>
        <v>4.83856033151407</v>
      </c>
      <c r="AH60" s="15" t="n">
        <f aca="false">AH58*$D$37/1000-AH59</f>
        <v>4.50354662080069</v>
      </c>
      <c r="AI60" s="15" t="n">
        <f aca="false">AI58*$D$37/1000-AI59</f>
        <v>4.19172869120323</v>
      </c>
      <c r="AJ60" s="15" t="n">
        <f aca="false">AJ58*$D$37/1000-AJ59</f>
        <v>3.90150050617938</v>
      </c>
      <c r="AK60" s="15" t="n">
        <f aca="false">AK58*$D$37/1000-AK59</f>
        <v>3.63136722843305</v>
      </c>
      <c r="AL60" s="15" t="n">
        <f aca="false">AL58*$D$37/1000-AL59</f>
        <v>3.37993752066714</v>
      </c>
      <c r="AM60" s="15" t="n">
        <f aca="false">AM58*$D$37/1000-AM59</f>
        <v>3.14591637941917</v>
      </c>
      <c r="AN60" s="15" t="n">
        <f aca="false">AN58*$D$37/1000-AN59</f>
        <v>2.92809846506996</v>
      </c>
      <c r="AO60" s="15" t="n">
        <f aca="false">AO58*$D$37/1000-AO59</f>
        <v>2.7253618936712</v>
      </c>
      <c r="AP60" s="15" t="n">
        <f aca="false">AP58*$D$37/1000-AP59</f>
        <v>2.53666245861633</v>
      </c>
      <c r="AQ60" s="15" t="n">
        <f aca="false">AQ58*$D$37/1000-AQ59</f>
        <v>2.36102825239316</v>
      </c>
      <c r="AR60" s="15" t="n">
        <f aca="false">AR58*$D$37/1000-AR59</f>
        <v>2.19755466071722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11.0223042147035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0.173604851646359</v>
      </c>
      <c r="J61" s="54" t="n">
        <f aca="false">J58*$D$34/1000</f>
        <v>0.347209703292719</v>
      </c>
      <c r="K61" s="54" t="n">
        <f aca="false">K58*$D$34/1000</f>
        <v>0.486093584609806</v>
      </c>
      <c r="L61" s="54" t="n">
        <f aca="false">L58*$D$34/1000</f>
        <v>0.486093584609806</v>
      </c>
      <c r="M61" s="54" t="n">
        <f aca="false">M58*$D$34/1000</f>
        <v>0.486093584609806</v>
      </c>
      <c r="N61" s="54" t="n">
        <f aca="false">N58*$D$34/1000</f>
        <v>0.486093584609806</v>
      </c>
      <c r="O61" s="54" t="n">
        <f aca="false">O58*$D$34/1000</f>
        <v>0.486093584609806</v>
      </c>
      <c r="P61" s="54" t="n">
        <f aca="false">P58*$D$34/1000</f>
        <v>0.478653376682105</v>
      </c>
      <c r="Q61" s="54" t="n">
        <f aca="false">Q58*$D$34/1000</f>
        <v>0.478653376682105</v>
      </c>
      <c r="R61" s="54" t="n">
        <f aca="false">R58*$D$34/1000</f>
        <v>0.478653376682105</v>
      </c>
      <c r="S61" s="54" t="n">
        <f aca="false">S58*$D$34/1000</f>
        <v>0.478653376682105</v>
      </c>
      <c r="T61" s="54" t="n">
        <f aca="false">T58*$D$34/1000</f>
        <v>0.478653376682105</v>
      </c>
      <c r="U61" s="54" t="n">
        <f aca="false">U58*$D$34/1000</f>
        <v>0.478653376682105</v>
      </c>
      <c r="V61" s="54" t="n">
        <f aca="false">V58*$D$34/1000</f>
        <v>0.445512228720521</v>
      </c>
      <c r="W61" s="54" t="n">
        <f aca="false">W58*$D$34/1000</f>
        <v>0.41466571763338</v>
      </c>
      <c r="X61" s="54" t="n">
        <f aca="false">X58*$D$34/1000</f>
        <v>0.38595496665541</v>
      </c>
      <c r="Y61" s="54" t="n">
        <f aca="false">Y58*$D$34/1000</f>
        <v>0.359232099379097</v>
      </c>
      <c r="Z61" s="54" t="n">
        <f aca="false">Z58*$D$34/1000</f>
        <v>0.334359478108569</v>
      </c>
      <c r="AA61" s="54" t="n">
        <f aca="false">AA58*$D$34/1000</f>
        <v>0.311208994948573</v>
      </c>
      <c r="AB61" s="54" t="n">
        <f aca="false">AB58*$D$34/1000</f>
        <v>0.28966141197724</v>
      </c>
      <c r="AC61" s="54" t="n">
        <f aca="false">AC58*$D$34/1000</f>
        <v>0.269605747104171</v>
      </c>
      <c r="AD61" s="54" t="n">
        <f aca="false">AD58*$D$34/1000</f>
        <v>0.250938702450672</v>
      </c>
      <c r="AE61" s="54" t="n">
        <f aca="false">AE58*$D$34/1000</f>
        <v>0.233564132307968</v>
      </c>
      <c r="AF61" s="54" t="n">
        <f aca="false">AF58*$D$34/1000</f>
        <v>0.217392547933084</v>
      </c>
      <c r="AG61" s="54" t="n">
        <f aca="false">AG58*$D$34/1000</f>
        <v>0.202340656631833</v>
      </c>
      <c r="AH61" s="54" t="n">
        <f aca="false">AH58*$D$34/1000</f>
        <v>0.188330932754896</v>
      </c>
      <c r="AI61" s="54" t="n">
        <f aca="false">AI58*$D$34/1000</f>
        <v>0.175291218397426</v>
      </c>
      <c r="AJ61" s="54" t="n">
        <f aca="false">AJ58*$D$34/1000</f>
        <v>0.163154351745519</v>
      </c>
      <c r="AK61" s="54" t="n">
        <f aca="false">AK58*$D$34/1000</f>
        <v>0.151857821155356</v>
      </c>
      <c r="AL61" s="54" t="n">
        <f aca="false">AL58*$D$34/1000</f>
        <v>0.141343443183306</v>
      </c>
      <c r="AM61" s="54" t="n">
        <f aca="false">AM58*$D$34/1000</f>
        <v>0.131557062908695</v>
      </c>
      <c r="AN61" s="54" t="n">
        <f aca="false">AN58*$D$34/1000</f>
        <v>0.122448275005703</v>
      </c>
      <c r="AO61" s="54" t="n">
        <f aca="false">AO58*$D$34/1000</f>
        <v>0.113970164127776</v>
      </c>
      <c r="AP61" s="54" t="n">
        <f aca="false">AP58*$D$34/1000</f>
        <v>0.106079063267386</v>
      </c>
      <c r="AQ61" s="54" t="n">
        <f aca="false">AQ58*$D$34/1000</f>
        <v>0.0987343288465414</v>
      </c>
      <c r="AR61" s="54" t="n">
        <f aca="false">AR58*$D$34/1000</f>
        <v>0.0918981313796547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0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</v>
      </c>
      <c r="L64" s="54" t="n">
        <f aca="false">IF(L59&gt;0,Исходные!$C$39/1000,0)</f>
        <v>0</v>
      </c>
      <c r="M64" s="54" t="n">
        <f aca="false">IF(M59&gt;0,Исходные!$C$39/1000,0)</f>
        <v>0</v>
      </c>
      <c r="N64" s="54" t="n">
        <f aca="false">IF(N59&gt;0,Исходные!$C$39/1000,0)</f>
        <v>0</v>
      </c>
      <c r="O64" s="54" t="n">
        <f aca="false">IF(O59&gt;0,Исходные!$C$39/1000,0)</f>
        <v>0</v>
      </c>
      <c r="P64" s="54" t="n">
        <f aca="false">IF(P59&gt;0,Исходные!$C$39/1000,0)</f>
        <v>0</v>
      </c>
      <c r="Q64" s="54" t="n">
        <f aca="false">IF(Q59&gt;0,Исходные!$C$39/1000,0)</f>
        <v>0</v>
      </c>
      <c r="R64" s="54" t="n">
        <f aca="false">IF(R59&gt;0,Исходные!$C$39/1000,0)</f>
        <v>0</v>
      </c>
      <c r="S64" s="54" t="n">
        <f aca="false">IF(S59&gt;0,Исходные!$C$39/1000,0)</f>
        <v>0</v>
      </c>
      <c r="T64" s="54" t="n">
        <f aca="false">IF(T59&gt;0,Исходные!$C$39/1000,0)</f>
        <v>0</v>
      </c>
      <c r="U64" s="54" t="n">
        <f aca="false">IF(U59&gt;0,Исходные!$C$39/1000,0)</f>
        <v>0</v>
      </c>
      <c r="V64" s="54" t="n">
        <f aca="false">IF(V59&gt;0,Исходные!$C$39/1000,0)</f>
        <v>0</v>
      </c>
      <c r="W64" s="54" t="n">
        <f aca="false">IF(W59&gt;0,Исходные!$C$39/1000,0)</f>
        <v>0</v>
      </c>
      <c r="X64" s="54" t="n">
        <f aca="false">IF(X59&gt;0,Исходные!$C$39/1000,0)</f>
        <v>0</v>
      </c>
      <c r="Y64" s="54" t="n">
        <f aca="false">IF(Y59&gt;0,Исходные!$C$39/1000,0)</f>
        <v>0</v>
      </c>
      <c r="Z64" s="54" t="n">
        <f aca="false">IF(Z59&gt;0,Исходные!$C$39/1000,0)</f>
        <v>0</v>
      </c>
      <c r="AA64" s="54" t="n">
        <f aca="false">IF(AA59&gt;0,Исходные!$C$39/1000,0)</f>
        <v>0</v>
      </c>
      <c r="AB64" s="54" t="n">
        <f aca="false">IF(AB59&gt;0,Исходные!$C$39/1000,0)</f>
        <v>0</v>
      </c>
      <c r="AC64" s="54" t="n">
        <f aca="false">IF(AC59&gt;0,Исходные!$C$39/1000,0)</f>
        <v>0</v>
      </c>
      <c r="AD64" s="54" t="n">
        <f aca="false">IF(AD59&gt;0,Исходные!$C$39/1000,0)</f>
        <v>0</v>
      </c>
      <c r="AE64" s="54" t="n">
        <f aca="false">IF(AE59&gt;0,Исходные!$C$39/1000,0)</f>
        <v>0</v>
      </c>
      <c r="AF64" s="54" t="n">
        <f aca="false">IF(AF59&gt;0,Исходные!$C$39/1000,0)</f>
        <v>0</v>
      </c>
      <c r="AG64" s="54" t="n">
        <f aca="false">IF(AG59&gt;0,Исходные!$C$39/1000,0)</f>
        <v>0</v>
      </c>
      <c r="AH64" s="54" t="n">
        <f aca="false">IF(AH59&gt;0,Исходные!$C$39/1000,0)</f>
        <v>0</v>
      </c>
      <c r="AI64" s="54" t="n">
        <f aca="false">IF(AI59&gt;0,Исходные!$C$39/1000,0)</f>
        <v>0</v>
      </c>
      <c r="AJ64" s="54" t="n">
        <f aca="false">IF(AJ59&gt;0,Исходные!$C$39/1000,0)</f>
        <v>0</v>
      </c>
      <c r="AK64" s="54" t="n">
        <f aca="false">IF(AK59&gt;0,Исходные!$C$39/1000,0)</f>
        <v>0</v>
      </c>
      <c r="AL64" s="54" t="n">
        <f aca="false">IF(AL59&gt;0,Исходные!$C$39/1000,0)</f>
        <v>0</v>
      </c>
      <c r="AM64" s="54" t="n">
        <f aca="false">IF(AM59&gt;0,Исходные!$C$39/1000,0)</f>
        <v>0</v>
      </c>
      <c r="AN64" s="54" t="n">
        <f aca="false">IF(AN59&gt;0,Исходные!$C$39/1000,0)</f>
        <v>0</v>
      </c>
      <c r="AO64" s="54" t="n">
        <f aca="false">IF(AO59&gt;0,Исходные!$C$39/1000,0)</f>
        <v>0</v>
      </c>
      <c r="AP64" s="54" t="n">
        <f aca="false">IF(AP59&gt;0,Исходные!$C$39/1000,0)</f>
        <v>0</v>
      </c>
      <c r="AQ64" s="54" t="n">
        <f aca="false">IF(AQ59&gt;0,Исходные!$C$39/1000,0)</f>
        <v>0</v>
      </c>
      <c r="AR64" s="54" t="n">
        <f aca="false">IF(AR59&gt;0,Исходные!$C$39/1000,0)</f>
        <v>0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0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</v>
      </c>
      <c r="L65" s="54" t="n">
        <f aca="false">IF(L59&gt;0,Исходные!$C$40/1000,0)</f>
        <v>0</v>
      </c>
      <c r="M65" s="54" t="n">
        <f aca="false">IF(M59&gt;0,Исходные!$C$40/1000,0)</f>
        <v>0</v>
      </c>
      <c r="N65" s="54" t="n">
        <f aca="false">IF(N59&gt;0,Исходные!$C$40/1000,0)</f>
        <v>0</v>
      </c>
      <c r="O65" s="54" t="n">
        <f aca="false">IF(O59&gt;0,Исходные!$C$40/1000,0)</f>
        <v>0</v>
      </c>
      <c r="P65" s="54" t="n">
        <f aca="false">IF(P59&gt;0,Исходные!$C$40/1000,0)</f>
        <v>0</v>
      </c>
      <c r="Q65" s="54" t="n">
        <f aca="false">IF(Q59&gt;0,Исходные!$C$40/1000,0)</f>
        <v>0</v>
      </c>
      <c r="R65" s="54" t="n">
        <f aca="false">IF(R59&gt;0,Исходные!$C$40/1000,0)</f>
        <v>0</v>
      </c>
      <c r="S65" s="54" t="n">
        <f aca="false">IF(S59&gt;0,Исходные!$C$40/1000,0)</f>
        <v>0</v>
      </c>
      <c r="T65" s="54" t="n">
        <f aca="false">IF(T59&gt;0,Исходные!$C$40/1000,0)</f>
        <v>0</v>
      </c>
      <c r="U65" s="54" t="n">
        <f aca="false">IF(U59&gt;0,Исходные!$C$40/1000,0)</f>
        <v>0</v>
      </c>
      <c r="V65" s="54" t="n">
        <f aca="false">IF(V59&gt;0,Исходные!$C$40/1000,0)</f>
        <v>0</v>
      </c>
      <c r="W65" s="54" t="n">
        <f aca="false">IF(W59&gt;0,Исходные!$C$40/1000,0)</f>
        <v>0</v>
      </c>
      <c r="X65" s="54" t="n">
        <f aca="false">IF(X59&gt;0,Исходные!$C$40/1000,0)</f>
        <v>0</v>
      </c>
      <c r="Y65" s="54" t="n">
        <f aca="false">IF(Y59&gt;0,Исходные!$C$40/1000,0)</f>
        <v>0</v>
      </c>
      <c r="Z65" s="54" t="n">
        <f aca="false">IF(Z59&gt;0,Исходные!$C$40/1000,0)</f>
        <v>0</v>
      </c>
      <c r="AA65" s="54" t="n">
        <f aca="false">IF(AA59&gt;0,Исходные!$C$40/1000,0)</f>
        <v>0</v>
      </c>
      <c r="AB65" s="54" t="n">
        <f aca="false">IF(AB59&gt;0,Исходные!$C$40/1000,0)</f>
        <v>0</v>
      </c>
      <c r="AC65" s="54" t="n">
        <f aca="false">IF(AC59&gt;0,Исходные!$C$40/1000,0)</f>
        <v>0</v>
      </c>
      <c r="AD65" s="54" t="n">
        <f aca="false">IF(AD59&gt;0,Исходные!$C$40/1000,0)</f>
        <v>0</v>
      </c>
      <c r="AE65" s="54" t="n">
        <f aca="false">IF(AE59&gt;0,Исходные!$C$40/1000,0)</f>
        <v>0</v>
      </c>
      <c r="AF65" s="54" t="n">
        <f aca="false">IF(AF59&gt;0,Исходные!$C$40/1000,0)</f>
        <v>0</v>
      </c>
      <c r="AG65" s="54" t="n">
        <f aca="false">IF(AG59&gt;0,Исходные!$C$40/1000,0)</f>
        <v>0</v>
      </c>
      <c r="AH65" s="54" t="n">
        <f aca="false">IF(AH59&gt;0,Исходные!$C$40/1000,0)</f>
        <v>0</v>
      </c>
      <c r="AI65" s="54" t="n">
        <f aca="false">IF(AI59&gt;0,Исходные!$C$40/1000,0)</f>
        <v>0</v>
      </c>
      <c r="AJ65" s="54" t="n">
        <f aca="false">IF(AJ59&gt;0,Исходные!$C$40/1000,0)</f>
        <v>0</v>
      </c>
      <c r="AK65" s="54" t="n">
        <f aca="false">IF(AK59&gt;0,Исходные!$C$40/1000,0)</f>
        <v>0</v>
      </c>
      <c r="AL65" s="54" t="n">
        <f aca="false">IF(AL59&gt;0,Исходные!$C$40/1000,0)</f>
        <v>0</v>
      </c>
      <c r="AM65" s="54" t="n">
        <f aca="false">IF(AM59&gt;0,Исходные!$C$40/1000,0)</f>
        <v>0</v>
      </c>
      <c r="AN65" s="54" t="n">
        <f aca="false">IF(AN59&gt;0,Исходные!$C$40/1000,0)</f>
        <v>0</v>
      </c>
      <c r="AO65" s="54" t="n">
        <f aca="false">IF(AO59&gt;0,Исходные!$C$40/1000,0)</f>
        <v>0</v>
      </c>
      <c r="AP65" s="54" t="n">
        <f aca="false">IF(AP59&gt;0,Исходные!$C$40/1000,0)</f>
        <v>0</v>
      </c>
      <c r="AQ65" s="54" t="n">
        <f aca="false">IF(AQ59&gt;0,Исходные!$C$40/1000,0)</f>
        <v>0</v>
      </c>
      <c r="AR65" s="54" t="n">
        <f aca="false">IF(AR59&gt;0,Исходные!$C$40/1000,0)</f>
        <v>0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</v>
      </c>
      <c r="L66" s="54" t="n">
        <f aca="false">IF(L59&gt;0,$D$43-L64-L65,0)</f>
        <v>0</v>
      </c>
      <c r="M66" s="54" t="n">
        <f aca="false">IF(M59&gt;0,$D$43-M64-M65,0)</f>
        <v>0</v>
      </c>
      <c r="N66" s="54" t="n">
        <f aca="false">IF(N59&gt;0,$D$43-N64-N65,0)</f>
        <v>0</v>
      </c>
      <c r="O66" s="54" t="n">
        <f aca="false">IF(O59&gt;0,$D$43-O64-O65,0)</f>
        <v>0</v>
      </c>
      <c r="P66" s="54" t="n">
        <f aca="false">IF(P59&gt;0,$D$43-P64-P65,0)</f>
        <v>0</v>
      </c>
      <c r="Q66" s="54" t="n">
        <f aca="false">IF(Q59&gt;0,$D$43-Q64-Q65,0)</f>
        <v>0</v>
      </c>
      <c r="R66" s="54" t="n">
        <f aca="false">IF(R59&gt;0,$D$43-R64-R65,0)</f>
        <v>0</v>
      </c>
      <c r="S66" s="54" t="n">
        <f aca="false">IF(S59&gt;0,$D$43-S64-S65,0)</f>
        <v>0</v>
      </c>
      <c r="T66" s="54" t="n">
        <f aca="false">IF(T59&gt;0,$D$43-T64-T65,0)</f>
        <v>0</v>
      </c>
      <c r="U66" s="54" t="n">
        <f aca="false">IF(U59&gt;0,$D$43-U64-U65,0)</f>
        <v>0</v>
      </c>
      <c r="V66" s="54" t="n">
        <f aca="false">IF(V59&gt;0,$D$43-V64-V65,0)</f>
        <v>0</v>
      </c>
      <c r="W66" s="54" t="n">
        <f aca="false">IF(W59&gt;0,$D$43-W64-W65,0)</f>
        <v>0</v>
      </c>
      <c r="X66" s="54" t="n">
        <f aca="false">IF(X59&gt;0,$D$43-X64-X65,0)</f>
        <v>0</v>
      </c>
      <c r="Y66" s="54" t="n">
        <f aca="false">IF(Y59&gt;0,$D$43-Y64-Y65,0)</f>
        <v>0</v>
      </c>
      <c r="Z66" s="54" t="n">
        <f aca="false">IF(Z59&gt;0,$D$43-Z64-Z65,0)</f>
        <v>0</v>
      </c>
      <c r="AA66" s="54" t="n">
        <f aca="false">IF(AA59&gt;0,$D$43-AA64-AA65,0)</f>
        <v>0</v>
      </c>
      <c r="AB66" s="54" t="n">
        <f aca="false">IF(AB59&gt;0,$D$43-AB64-AB65,0)</f>
        <v>0</v>
      </c>
      <c r="AC66" s="54" t="n">
        <f aca="false">IF(AC59&gt;0,$D$43-AC64-AC65,0)</f>
        <v>0</v>
      </c>
      <c r="AD66" s="54" t="n">
        <f aca="false">IF(AD59&gt;0,$D$43-AD64-AD65,0)</f>
        <v>0</v>
      </c>
      <c r="AE66" s="54" t="n">
        <f aca="false">IF(AE59&gt;0,$D$43-AE64-AE65,0)</f>
        <v>0</v>
      </c>
      <c r="AF66" s="54" t="n">
        <f aca="false">IF(AF59&gt;0,$D$43-AF64-AF65,0)</f>
        <v>0</v>
      </c>
      <c r="AG66" s="54" t="n">
        <f aca="false">IF(AG59&gt;0,$D$43-AG64-AG65,0)</f>
        <v>0</v>
      </c>
      <c r="AH66" s="54" t="n">
        <f aca="false">IF(AH59&gt;0,$D$43-AH64-AH65,0)</f>
        <v>0</v>
      </c>
      <c r="AI66" s="54" t="n">
        <f aca="false">IF(AI59&gt;0,$D$43-AI64-AI65,0)</f>
        <v>0</v>
      </c>
      <c r="AJ66" s="54" t="n">
        <f aca="false">IF(AJ59&gt;0,$D$43-AJ64-AJ65,0)</f>
        <v>0</v>
      </c>
      <c r="AK66" s="54" t="n">
        <f aca="false">IF(AK59&gt;0,$D$43-AK64-AK65,0)</f>
        <v>0</v>
      </c>
      <c r="AL66" s="54" t="n">
        <f aca="false">IF(AL59&gt;0,$D$43-AL64-AL65,0)</f>
        <v>0</v>
      </c>
      <c r="AM66" s="54" t="n">
        <f aca="false">IF(AM59&gt;0,$D$43-AM64-AM65,0)</f>
        <v>0</v>
      </c>
      <c r="AN66" s="54" t="n">
        <f aca="false">IF(AN59&gt;0,$D$43-AN64-AN65,0)</f>
        <v>0</v>
      </c>
      <c r="AO66" s="54" t="n">
        <f aca="false">IF(AO59&gt;0,$D$43-AO64-AO65,0)</f>
        <v>0</v>
      </c>
      <c r="AP66" s="54" t="n">
        <f aca="false">IF(AP59&gt;0,$D$43-AP64-AP65,0)</f>
        <v>0</v>
      </c>
      <c r="AQ66" s="54" t="n">
        <f aca="false">IF(AQ59&gt;0,$D$43-AQ64-AQ65,0)</f>
        <v>0</v>
      </c>
      <c r="AR66" s="54" t="n">
        <f aca="false">IF(AR59&gt;0,$D$43-AR64-AR65,0)</f>
        <v>0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1370.96039093134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21.5930689849021</v>
      </c>
      <c r="J68" s="15" t="n">
        <f aca="false">J60*$D$39/1000</f>
        <v>43.1861379698041</v>
      </c>
      <c r="K68" s="15" t="n">
        <f aca="false">K60*$D$39/1000</f>
        <v>60.4605931577258</v>
      </c>
      <c r="L68" s="15" t="n">
        <f aca="false">L60*$D$39/1000</f>
        <v>60.4605931577258</v>
      </c>
      <c r="M68" s="15" t="n">
        <f aca="false">M60*$D$39/1000</f>
        <v>60.4605931577258</v>
      </c>
      <c r="N68" s="15" t="n">
        <f aca="false">N60*$D$39/1000</f>
        <v>60.4605931577258</v>
      </c>
      <c r="O68" s="15" t="n">
        <f aca="false">O60*$D$39/1000</f>
        <v>60.4605931577258</v>
      </c>
      <c r="P68" s="15" t="n">
        <f aca="false">P60*$D$39/1000</f>
        <v>59.5351759155157</v>
      </c>
      <c r="Q68" s="15" t="n">
        <f aca="false">Q60*$D$39/1000</f>
        <v>59.5351759155157</v>
      </c>
      <c r="R68" s="15" t="n">
        <f aca="false">R60*$D$39/1000</f>
        <v>59.5351759155157</v>
      </c>
      <c r="S68" s="15" t="n">
        <f aca="false">S60*$D$39/1000</f>
        <v>59.5351759155157</v>
      </c>
      <c r="T68" s="15" t="n">
        <f aca="false">T60*$D$39/1000</f>
        <v>59.5351759155157</v>
      </c>
      <c r="U68" s="15" t="n">
        <f aca="false">U60*$D$39/1000</f>
        <v>59.5351759155157</v>
      </c>
      <c r="V68" s="15" t="n">
        <f aca="false">V60*$D$39/1000</f>
        <v>55.4130613122264</v>
      </c>
      <c r="W68" s="15" t="n">
        <f aca="false">W60*$D$39/1000</f>
        <v>51.5763549325856</v>
      </c>
      <c r="X68" s="15" t="n">
        <f aca="false">X60*$D$39/1000</f>
        <v>48.0052955952664</v>
      </c>
      <c r="Y68" s="15" t="n">
        <f aca="false">Y60*$D$39/1000</f>
        <v>44.68149034962</v>
      </c>
      <c r="Z68" s="15" t="n">
        <f aca="false">Z60*$D$39/1000</f>
        <v>41.5878197417047</v>
      </c>
      <c r="AA68" s="15" t="n">
        <f aca="false">AA60*$D$39/1000</f>
        <v>38.7083496395332</v>
      </c>
      <c r="AB68" s="15" t="n">
        <f aca="false">AB60*$D$39/1000</f>
        <v>36.0282491633916</v>
      </c>
      <c r="AC68" s="15" t="n">
        <f aca="false">AC60*$D$39/1000</f>
        <v>33.5337142985226</v>
      </c>
      <c r="AD68" s="15" t="n">
        <f aca="false">AD60*$D$39/1000</f>
        <v>31.211896796738</v>
      </c>
      <c r="AE68" s="15" t="n">
        <f aca="false">AE60*$D$39/1000</f>
        <v>29.0508380007622</v>
      </c>
      <c r="AF68" s="15" t="n">
        <f aca="false">AF60*$D$39/1000</f>
        <v>27.0394072504664</v>
      </c>
      <c r="AG68" s="15" t="n">
        <f aca="false">AG60*$D$39/1000</f>
        <v>25.1672445537507</v>
      </c>
      <c r="AH68" s="15" t="n">
        <f aca="false">AH60*$D$39/1000</f>
        <v>23.4247072267966</v>
      </c>
      <c r="AI68" s="15" t="n">
        <f aca="false">AI60*$D$39/1000</f>
        <v>21.8028202288581</v>
      </c>
      <c r="AJ68" s="15" t="n">
        <f aca="false">AJ60*$D$39/1000</f>
        <v>20.2932299357882</v>
      </c>
      <c r="AK68" s="15" t="n">
        <f aca="false">AK60*$D$39/1000</f>
        <v>18.8881611142074</v>
      </c>
      <c r="AL68" s="15" t="n">
        <f aca="false">AL60*$D$39/1000</f>
        <v>17.5803768747077</v>
      </c>
      <c r="AM68" s="15" t="n">
        <f aca="false">AM60*$D$39/1000</f>
        <v>16.3631413978293</v>
      </c>
      <c r="AN68" s="15" t="n">
        <f aca="false">AN60*$D$39/1000</f>
        <v>15.2301852408273</v>
      </c>
      <c r="AO68" s="15" t="n">
        <f aca="false">AO60*$D$39/1000</f>
        <v>14.1756730465389</v>
      </c>
      <c r="AP68" s="15" t="n">
        <f aca="false">AP60*$D$39/1000</f>
        <v>13.1941734880339</v>
      </c>
      <c r="AQ68" s="15" t="n">
        <f aca="false">AQ60*$D$39/1000</f>
        <v>12.2806312942469</v>
      </c>
      <c r="AR68" s="15" t="n">
        <f aca="false">AR60*$D$39/1000</f>
        <v>11.4303412125066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411.969642328759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6.48865493513433</v>
      </c>
      <c r="J69" s="15" t="n">
        <f aca="false">(J61+J66)*$D$40/1000</f>
        <v>12.9773098702687</v>
      </c>
      <c r="K69" s="15" t="n">
        <f aca="false">(K61+K66)*$D$40/1000</f>
        <v>18.1682338183761</v>
      </c>
      <c r="L69" s="15" t="n">
        <f aca="false">(L61+L66)*$D$40/1000</f>
        <v>18.1682338183761</v>
      </c>
      <c r="M69" s="15" t="n">
        <f aca="false">(M61+M66)*$D$40/1000</f>
        <v>18.1682338183761</v>
      </c>
      <c r="N69" s="15" t="n">
        <f aca="false">(N61+N66)*$D$40/1000</f>
        <v>18.1682338183761</v>
      </c>
      <c r="O69" s="15" t="n">
        <f aca="false">(O61+O66)*$D$40/1000</f>
        <v>18.1682338183761</v>
      </c>
      <c r="P69" s="15" t="n">
        <f aca="false">(P61+P66)*$D$40/1000</f>
        <v>17.8901486068704</v>
      </c>
      <c r="Q69" s="15" t="n">
        <f aca="false">(Q61+Q66)*$D$40/1000</f>
        <v>17.8901486068704</v>
      </c>
      <c r="R69" s="15" t="n">
        <f aca="false">(R61+R66)*$D$40/1000</f>
        <v>17.8901486068704</v>
      </c>
      <c r="S69" s="15" t="n">
        <f aca="false">(S61+S66)*$D$40/1000</f>
        <v>17.8901486068704</v>
      </c>
      <c r="T69" s="15" t="n">
        <f aca="false">(T61+T66)*$D$40/1000</f>
        <v>17.8901486068704</v>
      </c>
      <c r="U69" s="15" t="n">
        <f aca="false">(U61+U66)*$D$40/1000</f>
        <v>17.8901486068704</v>
      </c>
      <c r="V69" s="15" t="n">
        <f aca="false">(V61+V66)*$D$40/1000</f>
        <v>16.6514650606582</v>
      </c>
      <c r="W69" s="15" t="n">
        <f aca="false">(W61+W66)*$D$40/1000</f>
        <v>15.4985458622652</v>
      </c>
      <c r="X69" s="15" t="n">
        <f aca="false">(X61+X66)*$D$40/1000</f>
        <v>14.4254528337126</v>
      </c>
      <c r="Y69" s="15" t="n">
        <f aca="false">(Y61+Y66)*$D$40/1000</f>
        <v>13.4266589463931</v>
      </c>
      <c r="Z69" s="15" t="n">
        <f aca="false">(Z61+Z66)*$D$40/1000</f>
        <v>12.4970198537859</v>
      </c>
      <c r="AA69" s="15" t="n">
        <f aca="false">(AA61+AA66)*$D$40/1000</f>
        <v>11.6317473951979</v>
      </c>
      <c r="AB69" s="15" t="n">
        <f aca="false">(AB61+AB66)*$D$40/1000</f>
        <v>10.8263849340613</v>
      </c>
      <c r="AC69" s="15" t="n">
        <f aca="false">(AC61+AC66)*$D$40/1000</f>
        <v>10.0767844037655</v>
      </c>
      <c r="AD69" s="15" t="n">
        <f aca="false">(AD61+AD66)*$D$40/1000</f>
        <v>9.37908494279633</v>
      </c>
      <c r="AE69" s="15" t="n">
        <f aca="false">(AE61+AE66)*$D$40/1000</f>
        <v>8.7296930091426</v>
      </c>
      <c r="AF69" s="15" t="n">
        <f aca="false">(AF61+AF66)*$D$40/1000</f>
        <v>8.12526387154696</v>
      </c>
      <c r="AG69" s="15" t="n">
        <f aca="false">(AG61+AG66)*$D$40/1000</f>
        <v>7.56268438227138</v>
      </c>
      <c r="AH69" s="15" t="n">
        <f aca="false">(AH61+AH66)*$D$40/1000</f>
        <v>7.03905694264699</v>
      </c>
      <c r="AI69" s="15" t="n">
        <f aca="false">(AI61+AI66)*$D$40/1000</f>
        <v>6.55168457882219</v>
      </c>
      <c r="AJ69" s="15" t="n">
        <f aca="false">(AJ61+AJ66)*$D$40/1000</f>
        <v>6.09805705084054</v>
      </c>
      <c r="AK69" s="15" t="n">
        <f aca="false">(AK61+AK66)*$D$40/1000</f>
        <v>5.67583792350257</v>
      </c>
      <c r="AL69" s="15" t="n">
        <f aca="false">(AL61+AL66)*$D$40/1000</f>
        <v>5.28285253241925</v>
      </c>
      <c r="AM69" s="15" t="n">
        <f aca="false">(AM61+AM66)*$D$40/1000</f>
        <v>4.91707678327539</v>
      </c>
      <c r="AN69" s="15" t="n">
        <f aca="false">(AN61+AN66)*$D$40/1000</f>
        <v>4.57662672661314</v>
      </c>
      <c r="AO69" s="15" t="n">
        <f aca="false">(AO61+AO66)*$D$40/1000</f>
        <v>4.25974885443976</v>
      </c>
      <c r="AP69" s="15" t="n">
        <f aca="false">(AP61+AP66)*$D$40/1000</f>
        <v>3.96481106868183</v>
      </c>
      <c r="AQ69" s="15" t="n">
        <f aca="false">(AQ61+AQ66)*$D$40/1000</f>
        <v>3.69029427496833</v>
      </c>
      <c r="AR69" s="15" t="n">
        <f aca="false">(AR61+AR66)*$D$40/1000</f>
        <v>3.43478455844598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0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0</v>
      </c>
      <c r="L71" s="15" t="n">
        <f aca="false">L64*$D$23/1000</f>
        <v>0</v>
      </c>
      <c r="M71" s="15" t="n">
        <f aca="false">M64*$D$23/1000</f>
        <v>0</v>
      </c>
      <c r="N71" s="15" t="n">
        <f aca="false">N64*$D$23/1000</f>
        <v>0</v>
      </c>
      <c r="O71" s="15" t="n">
        <f aca="false">O64*$D$23/1000</f>
        <v>0</v>
      </c>
      <c r="P71" s="15" t="n">
        <f aca="false">P64*$D$23/1000</f>
        <v>0</v>
      </c>
      <c r="Q71" s="15" t="n">
        <f aca="false">Q64*$D$23/1000</f>
        <v>0</v>
      </c>
      <c r="R71" s="15" t="n">
        <f aca="false">R64*$D$23/1000</f>
        <v>0</v>
      </c>
      <c r="S71" s="15" t="n">
        <f aca="false">S64*$D$23/1000</f>
        <v>0</v>
      </c>
      <c r="T71" s="15" t="n">
        <f aca="false">T64*$D$23/1000</f>
        <v>0</v>
      </c>
      <c r="U71" s="15" t="n">
        <f aca="false">U64*$D$23/1000</f>
        <v>0</v>
      </c>
      <c r="V71" s="15" t="n">
        <f aca="false">V64*$D$23/1000</f>
        <v>0</v>
      </c>
      <c r="W71" s="15" t="n">
        <f aca="false">W64*$D$23/1000</f>
        <v>0</v>
      </c>
      <c r="X71" s="15" t="n">
        <f aca="false">X64*$D$23/1000</f>
        <v>0</v>
      </c>
      <c r="Y71" s="15" t="n">
        <f aca="false">Y64*$D$23/1000</f>
        <v>0</v>
      </c>
      <c r="Z71" s="15" t="n">
        <f aca="false">Z64*$D$23/1000</f>
        <v>0</v>
      </c>
      <c r="AA71" s="15" t="n">
        <f aca="false">AA64*$D$23/1000</f>
        <v>0</v>
      </c>
      <c r="AB71" s="15" t="n">
        <f aca="false">AB64*$D$23/1000</f>
        <v>0</v>
      </c>
      <c r="AC71" s="15" t="n">
        <f aca="false">AC64*$D$23/1000</f>
        <v>0</v>
      </c>
      <c r="AD71" s="15" t="n">
        <f aca="false">AD64*$D$23/1000</f>
        <v>0</v>
      </c>
      <c r="AE71" s="15" t="n">
        <f aca="false">AE64*$D$23/1000</f>
        <v>0</v>
      </c>
      <c r="AF71" s="15" t="n">
        <f aca="false">AF64*$D$23/1000</f>
        <v>0</v>
      </c>
      <c r="AG71" s="15" t="n">
        <f aca="false">AG64*$D$23/1000</f>
        <v>0</v>
      </c>
      <c r="AH71" s="15" t="n">
        <f aca="false">AH64*$D$23/1000</f>
        <v>0</v>
      </c>
      <c r="AI71" s="15" t="n">
        <f aca="false">AI64*$D$23/1000</f>
        <v>0</v>
      </c>
      <c r="AJ71" s="15" t="n">
        <f aca="false">AJ64*$D$23/1000</f>
        <v>0</v>
      </c>
      <c r="AK71" s="15" t="n">
        <f aca="false">AK64*$D$23/1000</f>
        <v>0</v>
      </c>
      <c r="AL71" s="15" t="n">
        <f aca="false">AL64*$D$23/1000</f>
        <v>0</v>
      </c>
      <c r="AM71" s="15" t="n">
        <f aca="false">AM64*$D$23/1000</f>
        <v>0</v>
      </c>
      <c r="AN71" s="15" t="n">
        <f aca="false">AN64*$D$23/1000</f>
        <v>0</v>
      </c>
      <c r="AO71" s="15" t="n">
        <f aca="false">AO64*$D$23/1000</f>
        <v>0</v>
      </c>
      <c r="AP71" s="15" t="n">
        <f aca="false">AP64*$D$23/1000</f>
        <v>0</v>
      </c>
      <c r="AQ71" s="15" t="n">
        <f aca="false">AQ64*$D$23/1000</f>
        <v>0</v>
      </c>
      <c r="AR71" s="15" t="n">
        <f aca="false">AR64*$D$23/1000</f>
        <v>0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0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0</v>
      </c>
      <c r="L72" s="15" t="n">
        <f aca="false">L65*$D$24/1000</f>
        <v>0</v>
      </c>
      <c r="M72" s="15" t="n">
        <f aca="false">M65*$D$24/1000</f>
        <v>0</v>
      </c>
      <c r="N72" s="15" t="n">
        <f aca="false">N65*$D$24/1000</f>
        <v>0</v>
      </c>
      <c r="O72" s="15" t="n">
        <f aca="false">O65*$D$24/1000</f>
        <v>0</v>
      </c>
      <c r="P72" s="15" t="n">
        <f aca="false">P65*$D$24/1000</f>
        <v>0</v>
      </c>
      <c r="Q72" s="15" t="n">
        <f aca="false">Q65*$D$24/1000</f>
        <v>0</v>
      </c>
      <c r="R72" s="15" t="n">
        <f aca="false">R65*$D$24/1000</f>
        <v>0</v>
      </c>
      <c r="S72" s="15" t="n">
        <f aca="false">S65*$D$24/1000</f>
        <v>0</v>
      </c>
      <c r="T72" s="15" t="n">
        <f aca="false">T65*$D$24/1000</f>
        <v>0</v>
      </c>
      <c r="U72" s="15" t="n">
        <f aca="false">U65*$D$24/1000</f>
        <v>0</v>
      </c>
      <c r="V72" s="15" t="n">
        <f aca="false">V65*$D$24/1000</f>
        <v>0</v>
      </c>
      <c r="W72" s="15" t="n">
        <f aca="false">W65*$D$24/1000</f>
        <v>0</v>
      </c>
      <c r="X72" s="15" t="n">
        <f aca="false">X65*$D$24/1000</f>
        <v>0</v>
      </c>
      <c r="Y72" s="15" t="n">
        <f aca="false">Y65*$D$24/1000</f>
        <v>0</v>
      </c>
      <c r="Z72" s="15" t="n">
        <f aca="false">Z65*$D$24/1000</f>
        <v>0</v>
      </c>
      <c r="AA72" s="15" t="n">
        <f aca="false">AA65*$D$24/1000</f>
        <v>0</v>
      </c>
      <c r="AB72" s="15" t="n">
        <f aca="false">AB65*$D$24/1000</f>
        <v>0</v>
      </c>
      <c r="AC72" s="15" t="n">
        <f aca="false">AC65*$D$24/1000</f>
        <v>0</v>
      </c>
      <c r="AD72" s="15" t="n">
        <f aca="false">AD65*$D$24/1000</f>
        <v>0</v>
      </c>
      <c r="AE72" s="15" t="n">
        <f aca="false">AE65*$D$24/1000</f>
        <v>0</v>
      </c>
      <c r="AF72" s="15" t="n">
        <f aca="false">AF65*$D$24/1000</f>
        <v>0</v>
      </c>
      <c r="AG72" s="15" t="n">
        <f aca="false">AG65*$D$24/1000</f>
        <v>0</v>
      </c>
      <c r="AH72" s="15" t="n">
        <f aca="false">AH65*$D$24/1000</f>
        <v>0</v>
      </c>
      <c r="AI72" s="15" t="n">
        <f aca="false">AI65*$D$24/1000</f>
        <v>0</v>
      </c>
      <c r="AJ72" s="15" t="n">
        <f aca="false">AJ65*$D$24/1000</f>
        <v>0</v>
      </c>
      <c r="AK72" s="15" t="n">
        <f aca="false">AK65*$D$24/1000</f>
        <v>0</v>
      </c>
      <c r="AL72" s="15" t="n">
        <f aca="false">AL65*$D$24/1000</f>
        <v>0</v>
      </c>
      <c r="AM72" s="15" t="n">
        <f aca="false">AM65*$D$24/1000</f>
        <v>0</v>
      </c>
      <c r="AN72" s="15" t="n">
        <f aca="false">AN65*$D$24/1000</f>
        <v>0</v>
      </c>
      <c r="AO72" s="15" t="n">
        <f aca="false">AO65*$D$24/1000</f>
        <v>0</v>
      </c>
      <c r="AP72" s="15" t="n">
        <f aca="false">AP65*$D$24/1000</f>
        <v>0</v>
      </c>
      <c r="AQ72" s="15" t="n">
        <f aca="false">AQ65*$D$24/1000</f>
        <v>0</v>
      </c>
      <c r="AR72" s="15" t="n">
        <f aca="false">AR65*$D$24/1000</f>
        <v>0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1782.9300332601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28.0817239200364</v>
      </c>
      <c r="J73" s="15" t="n">
        <f aca="false">SUM(J68:J72)</f>
        <v>56.1634478400728</v>
      </c>
      <c r="K73" s="15" t="n">
        <f aca="false">SUM(K68:K72)</f>
        <v>78.6288269761019</v>
      </c>
      <c r="L73" s="15" t="n">
        <f aca="false">SUM(L68:L72)</f>
        <v>78.6288269761019</v>
      </c>
      <c r="M73" s="15" t="n">
        <f aca="false">SUM(M68:M72)</f>
        <v>78.6288269761019</v>
      </c>
      <c r="N73" s="15" t="n">
        <f aca="false">SUM(N68:N72)</f>
        <v>78.6288269761019</v>
      </c>
      <c r="O73" s="15" t="n">
        <f aca="false">SUM(O68:O72)</f>
        <v>78.6288269761019</v>
      </c>
      <c r="P73" s="15" t="n">
        <f aca="false">SUM(P68:P72)</f>
        <v>77.425324522386</v>
      </c>
      <c r="Q73" s="15" t="n">
        <f aca="false">SUM(Q68:Q72)</f>
        <v>77.425324522386</v>
      </c>
      <c r="R73" s="15" t="n">
        <f aca="false">SUM(R68:R72)</f>
        <v>77.425324522386</v>
      </c>
      <c r="S73" s="15" t="n">
        <f aca="false">SUM(S68:S72)</f>
        <v>77.425324522386</v>
      </c>
      <c r="T73" s="15" t="n">
        <f aca="false">SUM(T68:T72)</f>
        <v>77.425324522386</v>
      </c>
      <c r="U73" s="15" t="n">
        <f aca="false">SUM(U68:U72)</f>
        <v>77.425324522386</v>
      </c>
      <c r="V73" s="15" t="n">
        <f aca="false">SUM(V68:V72)</f>
        <v>72.0645263728845</v>
      </c>
      <c r="W73" s="15" t="n">
        <f aca="false">SUM(W68:W72)</f>
        <v>67.0749007948508</v>
      </c>
      <c r="X73" s="15" t="n">
        <f aca="false">SUM(X68:X72)</f>
        <v>62.430748428979</v>
      </c>
      <c r="Y73" s="15" t="n">
        <f aca="false">SUM(Y68:Y72)</f>
        <v>58.1081492960131</v>
      </c>
      <c r="Z73" s="15" t="n">
        <f aca="false">SUM(Z68:Z72)</f>
        <v>54.0848395954906</v>
      </c>
      <c r="AA73" s="15" t="n">
        <f aca="false">SUM(AA68:AA72)</f>
        <v>50.3400970347311</v>
      </c>
      <c r="AB73" s="15" t="n">
        <f aca="false">SUM(AB68:AB72)</f>
        <v>46.854634097453</v>
      </c>
      <c r="AC73" s="15" t="n">
        <f aca="false">SUM(AC68:AC72)</f>
        <v>43.6104987022881</v>
      </c>
      <c r="AD73" s="15" t="n">
        <f aca="false">SUM(AD68:AD72)</f>
        <v>40.5909817395343</v>
      </c>
      <c r="AE73" s="15" t="n">
        <f aca="false">SUM(AE68:AE72)</f>
        <v>37.7805310099048</v>
      </c>
      <c r="AF73" s="15" t="n">
        <f aca="false">SUM(AF68:AF72)</f>
        <v>35.1646711220134</v>
      </c>
      <c r="AG73" s="15" t="n">
        <f aca="false">SUM(AG68:AG72)</f>
        <v>32.7299289360221</v>
      </c>
      <c r="AH73" s="15" t="n">
        <f aca="false">SUM(AH68:AH72)</f>
        <v>30.4637641694436</v>
      </c>
      <c r="AI73" s="15" t="n">
        <f aca="false">SUM(AI68:AI72)</f>
        <v>28.3545048076803</v>
      </c>
      <c r="AJ73" s="15" t="n">
        <f aca="false">SUM(AJ68:AJ72)</f>
        <v>26.3912869866288</v>
      </c>
      <c r="AK73" s="15" t="n">
        <f aca="false">SUM(AK68:AK72)</f>
        <v>24.56399903771</v>
      </c>
      <c r="AL73" s="15" t="n">
        <f aca="false">SUM(AL68:AL72)</f>
        <v>22.8632294071269</v>
      </c>
      <c r="AM73" s="15" t="n">
        <f aca="false">SUM(AM68:AM72)</f>
        <v>21.2802181811047</v>
      </c>
      <c r="AN73" s="15" t="n">
        <f aca="false">SUM(AN68:AN72)</f>
        <v>19.8068119674404</v>
      </c>
      <c r="AO73" s="15" t="n">
        <f aca="false">SUM(AO68:AO72)</f>
        <v>18.4354219009787</v>
      </c>
      <c r="AP73" s="15" t="n">
        <f aca="false">SUM(AP68:AP72)</f>
        <v>17.1589845567158</v>
      </c>
      <c r="AQ73" s="15" t="n">
        <f aca="false">SUM(AQ68:AQ72)</f>
        <v>15.9709255692152</v>
      </c>
      <c r="AR73" s="15" t="n">
        <f aca="false">SUM(AR68:AR72)</f>
        <v>14.8651257709526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239.125139610895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2.51943505524055</v>
      </c>
      <c r="J74" s="15" t="n">
        <f aca="false">J52*$D$37/1000*(Исходные!$C$23+Исходные!$C$24*J56)/1000+Исходные!$C$25*J56*(J69+J70)</f>
        <v>5.30713760997694</v>
      </c>
      <c r="K74" s="15" t="n">
        <f aca="false">K52*$D$37/1000*(Исходные!$C$23+Исходные!$C$24*K56)/1000+Исходные!$C$25*K56*(K69+K70)</f>
        <v>7.80556715326188</v>
      </c>
      <c r="L74" s="15" t="n">
        <f aca="false">L52*$D$37/1000*(Исходные!$C$23+Исходные!$C$24*L56)/1000+Исходные!$C$25*L56*(L69+L70)</f>
        <v>8.18114165255605</v>
      </c>
      <c r="M74" s="15" t="n">
        <f aca="false">M52*$D$37/1000*(Исходные!$C$23+Исходные!$C$24*M56)/1000+Исходные!$C$25*M56*(M69+M70)</f>
        <v>8.55671615185023</v>
      </c>
      <c r="N74" s="15" t="n">
        <f aca="false">N52*$D$37/1000*(Исходные!$C$23+Исходные!$C$24*N56)/1000+Исходные!$C$25*N56*(N69+N70)</f>
        <v>8.93229065114439</v>
      </c>
      <c r="O74" s="15" t="n">
        <f aca="false">O52*$D$37/1000*(Исходные!$C$23+Исходные!$C$24*O56)/1000+Исходные!$C$25*O56*(O69+O70)</f>
        <v>9.30786515043856</v>
      </c>
      <c r="P74" s="15" t="n">
        <f aca="false">P52*$D$37/1000*(Исходные!$C$23+Исходные!$C$24*P56)/1000+Исходные!$C$25*P56*(P69+P70)</f>
        <v>9.65540866041295</v>
      </c>
      <c r="Q74" s="15" t="n">
        <f aca="false">Q52*$D$37/1000*(Исходные!$C$23+Исходные!$C$24*Q56)/1000+Исходные!$C$25*Q56*(Q69+Q70)</f>
        <v>10.0282301161132</v>
      </c>
      <c r="R74" s="15" t="n">
        <f aca="false">R52*$D$37/1000*(Исходные!$C$23+Исходные!$C$24*R56)/1000+Исходные!$C$25*R56*(R69+R70)</f>
        <v>10.4010515718135</v>
      </c>
      <c r="S74" s="15" t="n">
        <f aca="false">S52*$D$37/1000*(Исходные!$C$23+Исходные!$C$24*S56)/1000+Исходные!$C$25*S56*(S69+S70)</f>
        <v>10.7738730275137</v>
      </c>
      <c r="T74" s="15" t="n">
        <f aca="false">T52*$D$37/1000*(Исходные!$C$23+Исходные!$C$24*T56)/1000+Исходные!$C$25*T56*(T69+T70)</f>
        <v>11.146694483214</v>
      </c>
      <c r="U74" s="15" t="n">
        <f aca="false">U52*$D$37/1000*(Исходные!$C$23+Исходные!$C$24*U56)/1000+Исходные!$C$25*U56*(U69+U70)</f>
        <v>11.5082183190446</v>
      </c>
      <c r="V74" s="15" t="n">
        <f aca="false">V52*$D$37/1000*(Исходные!$C$23+Исходные!$C$24*V56)/1000+Исходные!$C$25*V56*(V69+V70)</f>
        <v>10.7114088016243</v>
      </c>
      <c r="W74" s="15" t="n">
        <f aca="false">W52*$D$37/1000*(Исходные!$C$23+Исходные!$C$24*W56)/1000+Исходные!$C$25*W56*(W69+W70)</f>
        <v>9.96976902372834</v>
      </c>
      <c r="X74" s="15" t="n">
        <f aca="false">X52*$D$37/1000*(Исходные!$C$23+Исходные!$C$24*X56)/1000+Исходные!$C$25*X56*(X69+X70)</f>
        <v>9.27947912616508</v>
      </c>
      <c r="Y74" s="15" t="n">
        <f aca="false">Y52*$D$37/1000*(Исходные!$C$23+Исходные!$C$24*Y56)/1000+Исходные!$C$25*Y56*(Y69+Y70)</f>
        <v>8.63698373031432</v>
      </c>
      <c r="Z74" s="15" t="n">
        <f aca="false">Z52*$D$37/1000*(Исходные!$C$23+Исходные!$C$24*Z56)/1000+Исходные!$C$25*Z56*(Z69+Z70)</f>
        <v>8.03897362594135</v>
      </c>
      <c r="AA74" s="15" t="n">
        <f aca="false">AA52*$D$37/1000*(Исходные!$C$23+Исходные!$C$24*AA56)/1000+Исходные!$C$25*AA56*(AA69+AA70)</f>
        <v>7.48236872691535</v>
      </c>
      <c r="AB74" s="15" t="n">
        <f aca="false">AB52*$D$37/1000*(Исходные!$C$23+Исходные!$C$24*AB56)/1000+Исходные!$C$25*AB56*(AB69+AB70)</f>
        <v>6.96430220704512</v>
      </c>
      <c r="AC74" s="15" t="n">
        <f aca="false">AC52*$D$37/1000*(Исходные!$C$23+Исходные!$C$24*AC56)/1000+Исходные!$C$25*AC56*(AC69+AC70)</f>
        <v>6.48210573432253</v>
      </c>
      <c r="AD74" s="15" t="n">
        <f aca="false">AD52*$D$37/1000*(Исходные!$C$23+Исходные!$C$24*AD56)/1000+Исходные!$C$25*AD56*(AD69+AD70)</f>
        <v>6.03329572752195</v>
      </c>
      <c r="AE74" s="15" t="n">
        <f aca="false">AE52*$D$37/1000*(Исходные!$C$23+Исходные!$C$24*AE56)/1000+Исходные!$C$25*AE56*(AE69+AE70)</f>
        <v>5.61556056436944</v>
      </c>
      <c r="AF74" s="15" t="n">
        <f aca="false">AF52*$D$37/1000*(Исходные!$C$23+Исходные!$C$24*AF56)/1000+Исходные!$C$25*AF56*(AF69+AF70)</f>
        <v>5.22674867539658</v>
      </c>
      <c r="AG74" s="15" t="n">
        <f aca="false">AG52*$D$37/1000*(Исходные!$C$23+Исходные!$C$24*AG56)/1000+Исходные!$C$25*AG56*(AG69+AG70)</f>
        <v>4.8648574621557</v>
      </c>
      <c r="AH74" s="15" t="n">
        <f aca="false">AH52*$D$37/1000*(Исходные!$C$23+Исходные!$C$24*AH56)/1000+Исходные!$C$25*AH56*(AH69+AH70)</f>
        <v>4.52802298271904</v>
      </c>
      <c r="AI74" s="15" t="n">
        <f aca="false">AI52*$D$37/1000*(Исходные!$C$23+Исходные!$C$24*AI56)/1000+Исходные!$C$25*AI56*(AI69+AI70)</f>
        <v>4.21451035133649</v>
      </c>
      <c r="AJ74" s="15" t="n">
        <f aca="false">AJ52*$D$37/1000*(Исходные!$C$23+Исходные!$C$24*AJ56)/1000+Исходные!$C$25*AJ56*(AJ69+AJ70)</f>
        <v>3.9227048028048</v>
      </c>
      <c r="AK74" s="15" t="n">
        <f aca="false">AK52*$D$37/1000*(Исходные!$C$23+Исходные!$C$24*AK56)/1000+Исходные!$C$25*AK56*(AK69+AK70)</f>
        <v>3.65110337552455</v>
      </c>
      <c r="AL74" s="15" t="n">
        <f aca="false">AL52*$D$37/1000*(Исходные!$C$23+Исходные!$C$24*AL56)/1000+Исходные!$C$25*AL56*(AL69+AL70)</f>
        <v>3.39830717040833</v>
      </c>
      <c r="AM74" s="15" t="n">
        <f aca="false">AM52*$D$37/1000*(Исходные!$C$23+Исходные!$C$24*AM56)/1000+Исходные!$C$25*AM56*(AM69+AM70)</f>
        <v>3.16301414576889</v>
      </c>
      <c r="AN74" s="15" t="n">
        <f aca="false">AN52*$D$37/1000*(Исходные!$C$23+Исходные!$C$24*AN56)/1000+Исходные!$C$25*AN56*(AN69+AN70)</f>
        <v>2.944012411077</v>
      </c>
      <c r="AO74" s="15" t="n">
        <f aca="false">AO52*$D$37/1000*(Исходные!$C$23+Исходные!$C$24*AO56)/1000+Исходные!$C$25*AO56*(AO69+AO70)</f>
        <v>2.74017398504822</v>
      </c>
      <c r="AP74" s="15" t="n">
        <f aca="false">AP52*$D$37/1000*(Исходные!$C$23+Исходные!$C$24*AP56)/1000+Исходные!$C$25*AP56*(AP69+AP70)</f>
        <v>2.55044898590906</v>
      </c>
      <c r="AQ74" s="15" t="n">
        <f aca="false">AQ52*$D$37/1000*(Исходные!$C$23+Исходные!$C$24*AQ56)/1000+Исходные!$C$25*AQ56*(AQ69+AQ70)</f>
        <v>2.37386022391935</v>
      </c>
      <c r="AR74" s="15" t="n">
        <f aca="false">AR52*$D$37/1000*(Исходные!$C$23+Исходные!$C$24*AR56)/1000+Исходные!$C$25*AR56*(AR69+AR70)</f>
        <v>2.20949816829913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4.48856223950046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2.24428111975023</v>
      </c>
      <c r="H80" s="15" t="n">
        <f aca="false">$D80*CAPEX_нормы!M$10</f>
        <v>2.24428111975023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0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0</v>
      </c>
      <c r="J92" s="15" t="n">
        <f aca="false">$D92*CAPEX_нормы!O$22</f>
        <v>0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351.544393226489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112.805653442062</v>
      </c>
      <c r="H93" s="15" t="n">
        <f aca="false">SUM(H76:H92)</f>
        <v>80.3228860833972</v>
      </c>
      <c r="I93" s="15" t="n">
        <f aca="false">SUM(I76:I92)</f>
        <v>6.85714285714286</v>
      </c>
      <c r="J93" s="15" t="n">
        <f aca="false">SUM(J76:J92)</f>
        <v>0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20.5256595751815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204.704514739914</v>
      </c>
      <c r="H94" s="15" t="n">
        <f aca="false">G94+H93</f>
        <v>285.027400823311</v>
      </c>
      <c r="I94" s="15" t="n">
        <f aca="false">H94+I93</f>
        <v>291.884543680454</v>
      </c>
      <c r="J94" s="15" t="n">
        <f aca="false">I94+J93</f>
        <v>291.884543680454</v>
      </c>
      <c r="K94" s="15" t="n">
        <f aca="false">J94+K93</f>
        <v>291.884543680454</v>
      </c>
      <c r="L94" s="15" t="n">
        <f aca="false">K94+L93</f>
        <v>291.884543680454</v>
      </c>
      <c r="M94" s="15" t="n">
        <f aca="false">L94+M93</f>
        <v>291.884543680454</v>
      </c>
      <c r="N94" s="15" t="n">
        <f aca="false">M94+N93</f>
        <v>294.455972251882</v>
      </c>
      <c r="O94" s="15" t="n">
        <f aca="false">N94+O93</f>
        <v>310.493074076126</v>
      </c>
      <c r="P94" s="15" t="n">
        <f aca="false">O94+P93</f>
        <v>331.018733651307</v>
      </c>
      <c r="Q94" s="15" t="n">
        <f aca="false">P94+Q93</f>
        <v>333.590162222736</v>
      </c>
      <c r="R94" s="15" t="n">
        <f aca="false">Q94+R93</f>
        <v>333.590162222736</v>
      </c>
      <c r="S94" s="15" t="n">
        <f aca="false">R94+S93</f>
        <v>333.590162222736</v>
      </c>
      <c r="T94" s="15" t="n">
        <f aca="false">S94+T93</f>
        <v>333.590162222736</v>
      </c>
      <c r="U94" s="15" t="n">
        <f aca="false">T94+U93</f>
        <v>333.590162222736</v>
      </c>
      <c r="V94" s="15" t="n">
        <f aca="false">U94+V93</f>
        <v>333.590162222736</v>
      </c>
      <c r="W94" s="15" t="n">
        <f aca="false">V94+W93</f>
        <v>351.544393226489</v>
      </c>
      <c r="X94" s="15" t="n">
        <f aca="false">W94+X93</f>
        <v>351.544393226489</v>
      </c>
      <c r="Y94" s="15" t="n">
        <f aca="false">X94+Y93</f>
        <v>351.544393226489</v>
      </c>
      <c r="Z94" s="15" t="n">
        <f aca="false">Y94+Z93</f>
        <v>351.544393226489</v>
      </c>
      <c r="AA94" s="15" t="n">
        <f aca="false">Z94+AA93</f>
        <v>351.544393226489</v>
      </c>
      <c r="AB94" s="15" t="n">
        <f aca="false">AA94+AB93</f>
        <v>351.544393226489</v>
      </c>
      <c r="AC94" s="15" t="n">
        <f aca="false">AB94+AC93</f>
        <v>351.544393226489</v>
      </c>
      <c r="AD94" s="15" t="n">
        <f aca="false">AC94+AD93</f>
        <v>351.544393226489</v>
      </c>
      <c r="AE94" s="15" t="n">
        <f aca="false">AD94+AE93</f>
        <v>351.544393226489</v>
      </c>
      <c r="AF94" s="15" t="n">
        <f aca="false">AE94+AF93</f>
        <v>351.544393226489</v>
      </c>
      <c r="AG94" s="15" t="n">
        <f aca="false">AF94+AG93</f>
        <v>351.544393226489</v>
      </c>
      <c r="AH94" s="15" t="n">
        <f aca="false">AG94+AH93</f>
        <v>351.544393226489</v>
      </c>
      <c r="AI94" s="15" t="n">
        <f aca="false">AH94+AI93</f>
        <v>351.544393226489</v>
      </c>
      <c r="AJ94" s="15" t="n">
        <f aca="false">AI94+AJ93</f>
        <v>351.544393226489</v>
      </c>
      <c r="AK94" s="15" t="n">
        <f aca="false">AJ94+AK93</f>
        <v>351.544393226489</v>
      </c>
      <c r="AL94" s="15" t="n">
        <f aca="false">AK94+AL93</f>
        <v>351.544393226489</v>
      </c>
      <c r="AM94" s="15" t="n">
        <f aca="false">AL94+AM93</f>
        <v>351.544393226489</v>
      </c>
      <c r="AN94" s="15" t="n">
        <f aca="false">AM94+AN93</f>
        <v>351.544393226489</v>
      </c>
      <c r="AO94" s="15" t="n">
        <f aca="false">AN94+AO93</f>
        <v>351.544393226489</v>
      </c>
      <c r="AP94" s="15" t="n">
        <f aca="false">AO94+AP93</f>
        <v>351.544393226489</v>
      </c>
      <c r="AQ94" s="15" t="n">
        <f aca="false">AP94+AQ93</f>
        <v>351.544393226489</v>
      </c>
      <c r="AR94" s="15" t="n">
        <f aca="false">AQ94+AR93</f>
        <v>351.544393226489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228.754826915729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5.10792772388713</v>
      </c>
      <c r="J97" s="15" t="n">
        <f aca="false">J96*Исходные!$C$33*J94+J52*Исходные!$C$34/1000+J62*Исходные!$C$35/1000+(J61+J62)*Исходные!$C$36/1000+IF(J59&gt;0,$D$43*Исходные!$C$41/1000,0)+J96*$D$33</f>
        <v>5.83758729256745</v>
      </c>
      <c r="K97" s="15" t="n">
        <f aca="false">K96*Исходные!$C$33*K94+K52*Исходные!$C$34/1000+K62*Исходные!$C$35/1000+(K61+K62)*Исходные!$C$36/1000+IF(K59&gt;0,$D$43*Исходные!$C$41/1000,0)+K96*$D$33</f>
        <v>6.42131494751171</v>
      </c>
      <c r="L97" s="15" t="n">
        <f aca="false">L96*Исходные!$C$33*L94+L52*Исходные!$C$34/1000+L62*Исходные!$C$35/1000+(L61+L62)*Исходные!$C$36/1000+IF(L59&gt;0,$D$43*Исходные!$C$41/1000,0)+L96*$D$33</f>
        <v>6.42131494751171</v>
      </c>
      <c r="M97" s="15" t="n">
        <f aca="false">M96*Исходные!$C$33*M94+M52*Исходные!$C$34/1000+M62*Исходные!$C$35/1000+(M61+M62)*Исходные!$C$36/1000+IF(M59&gt;0,$D$43*Исходные!$C$41/1000,0)+M96*$D$33</f>
        <v>6.42131494751171</v>
      </c>
      <c r="N97" s="15" t="n">
        <f aca="false">N96*Исходные!$C$33*N94+N52*Исходные!$C$34/1000+N62*Исходные!$C$35/1000+(N61+N62)*Исходные!$C$36/1000+IF(N59&gt;0,$D$43*Исходные!$C$41/1000,0)+N96*$D$33</f>
        <v>6.45988637608314</v>
      </c>
      <c r="O97" s="15" t="n">
        <f aca="false">O96*Исходные!$C$33*O94+O52*Исходные!$C$34/1000+O62*Исходные!$C$35/1000+(O61+O62)*Исходные!$C$36/1000+IF(O59&gt;0,$D$43*Исходные!$C$41/1000,0)+O96*$D$33</f>
        <v>6.70044290344679</v>
      </c>
      <c r="P97" s="15" t="n">
        <f aca="false">P96*Исходные!$C$33*P94+P52*Исходные!$C$34/1000+P62*Исходные!$C$35/1000+(P61+P62)*Исходные!$C$36/1000+IF(P59&gt;0,$D$43*Исходные!$C$41/1000,0)+P96*$D$33</f>
        <v>7.00460769311066</v>
      </c>
      <c r="Q97" s="15" t="n">
        <f aca="false">Q96*Исходные!$C$33*Q94+Q52*Исходные!$C$34/1000+Q62*Исходные!$C$35/1000+(Q61+Q62)*Исходные!$C$36/1000+IF(Q59&gt;0,$D$43*Исходные!$C$41/1000,0)+Q96*$D$33</f>
        <v>7.04317912168209</v>
      </c>
      <c r="R97" s="15" t="n">
        <f aca="false">R96*Исходные!$C$33*R94+R52*Исходные!$C$34/1000+R62*Исходные!$C$35/1000+(R61+R62)*Исходные!$C$36/1000+IF(R59&gt;0,$D$43*Исходные!$C$41/1000,0)+R96*$D$33</f>
        <v>7.04317912168209</v>
      </c>
      <c r="S97" s="15" t="n">
        <f aca="false">S96*Исходные!$C$33*S94+S52*Исходные!$C$34/1000+S62*Исходные!$C$35/1000+(S61+S62)*Исходные!$C$36/1000+IF(S59&gt;0,$D$43*Исходные!$C$41/1000,0)+S96*$D$33</f>
        <v>7.04317912168209</v>
      </c>
      <c r="T97" s="15" t="n">
        <f aca="false">T96*Исходные!$C$33*T94+T52*Исходные!$C$34/1000+T62*Исходные!$C$35/1000+(T61+T62)*Исходные!$C$36/1000+IF(T59&gt;0,$D$43*Исходные!$C$41/1000,0)+T96*$D$33</f>
        <v>7.04317912168209</v>
      </c>
      <c r="U97" s="15" t="n">
        <f aca="false">U96*Исходные!$C$33*U94+U52*Исходные!$C$34/1000+U62*Исходные!$C$35/1000+(U61+U62)*Исходные!$C$36/1000+IF(U59&gt;0,$D$43*Исходные!$C$41/1000,0)+U96*$D$33</f>
        <v>7.04317912168209</v>
      </c>
      <c r="V97" s="15" t="n">
        <f aca="false">V96*Исходные!$C$33*V94+V52*Исходные!$C$34/1000+V62*Исходные!$C$35/1000+(V61+V62)*Исходные!$C$36/1000+IF(V59&gt;0,$D$43*Исходные!$C$41/1000,0)+V96*$D$33</f>
        <v>6.90197960066585</v>
      </c>
      <c r="W97" s="15" t="n">
        <f aca="false">W96*Исходные!$C$33*W94+W52*Исходные!$C$34/1000+W62*Исходные!$C$35/1000+(W61+W62)*Исходные!$C$36/1000+IF(W59&gt;0,$D$43*Исходные!$C$41/1000,0)+W96*$D$33</f>
        <v>7.03986996005377</v>
      </c>
      <c r="X97" s="15" t="n">
        <f aca="false">X96*Исходные!$C$33*X94+X52*Исходные!$C$34/1000+X62*Исходные!$C$35/1000+(X61+X62)*Исходные!$C$36/1000+IF(X59&gt;0,$D$43*Исходные!$C$41/1000,0)+X96*$D$33</f>
        <v>6.91754636731628</v>
      </c>
      <c r="Y97" s="15" t="n">
        <f aca="false">Y96*Исходные!$C$33*Y94+Y52*Исходные!$C$34/1000+Y62*Исходные!$C$35/1000+(Y61+Y62)*Исходные!$C$36/1000+IF(Y59&gt;0,$D$43*Исходные!$C$41/1000,0)+Y96*$D$33</f>
        <v>6.80369225266793</v>
      </c>
      <c r="Z97" s="15" t="n">
        <f aca="false">Z96*Исходные!$C$33*Z94+Z52*Исходные!$C$34/1000+Z62*Исходные!$C$35/1000+(Z61+Z62)*Исходные!$C$36/1000+IF(Z59&gt;0,$D$43*Исходные!$C$41/1000,0)+Z96*$D$33</f>
        <v>6.69772120381085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6.59908741064005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6.50728285401646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6.42183468918457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6.34230281035774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6.26827758392754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6.19937773862182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6.13524840174463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6.0755592713836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6.02000291517055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5.96829318683302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5.92016375238116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5.87536671833883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5.83367135495373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5.79486290781026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5.75874149172433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5.72512106122296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5.69382845230619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5.66470249055569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351.544393226489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285.027400823311</v>
      </c>
      <c r="J98" s="15" t="n">
        <f aca="false">I93</f>
        <v>6.85714285714286</v>
      </c>
      <c r="K98" s="15" t="n">
        <f aca="false">J93</f>
        <v>0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20.5256595751815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351.544393226489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19.0018267215541</v>
      </c>
      <c r="J99" s="15" t="n">
        <f aca="true">SUM(OFFSET(J98,0,-MIN(Исходные!$C$32-1,J47),1,MIN(Исходные!$C$32,J47+1)))/Исходные!$C$32</f>
        <v>19.4589695786969</v>
      </c>
      <c r="K99" s="15" t="n">
        <f aca="true">SUM(OFFSET(K98,0,-MIN(Исходные!$C$32-1,K47),1,MIN(Исходные!$C$32,K47+1)))/Исходные!$C$32</f>
        <v>19.4589695786969</v>
      </c>
      <c r="L99" s="15" t="n">
        <f aca="true">SUM(OFFSET(L98,0,-MIN(Исходные!$C$32-1,L47),1,MIN(Исходные!$C$32,L47+1)))/Исходные!$C$32</f>
        <v>19.4589695786969</v>
      </c>
      <c r="M99" s="15" t="n">
        <f aca="true">SUM(OFFSET(M98,0,-MIN(Исходные!$C$32-1,M47),1,MIN(Исходные!$C$32,M47+1)))/Исходные!$C$32</f>
        <v>19.4589695786969</v>
      </c>
      <c r="N99" s="15" t="n">
        <f aca="true">SUM(OFFSET(N98,0,-MIN(Исходные!$C$32-1,N47),1,MIN(Исходные!$C$32,N47+1)))/Исходные!$C$32</f>
        <v>19.4589695786969</v>
      </c>
      <c r="O99" s="15" t="n">
        <f aca="true">SUM(OFFSET(O98,0,-MIN(Исходные!$C$32-1,O47),1,MIN(Исходные!$C$32,O47+1)))/Исходные!$C$32</f>
        <v>19.6303981501255</v>
      </c>
      <c r="P99" s="15" t="n">
        <f aca="true">SUM(OFFSET(P98,0,-MIN(Исходные!$C$32-1,P47),1,MIN(Исходные!$C$32,P47+1)))/Исходные!$C$32</f>
        <v>20.6995382717417</v>
      </c>
      <c r="Q99" s="15" t="n">
        <f aca="true">SUM(OFFSET(Q98,0,-MIN(Исходные!$C$32-1,Q47),1,MIN(Исходные!$C$32,Q47+1)))/Исходные!$C$32</f>
        <v>22.0679155767538</v>
      </c>
      <c r="R99" s="15" t="n">
        <f aca="true">SUM(OFFSET(R98,0,-MIN(Исходные!$C$32-1,R47),1,MIN(Исходные!$C$32,R47+1)))/Исходные!$C$32</f>
        <v>22.2393441481824</v>
      </c>
      <c r="S99" s="15" t="n">
        <f aca="true">SUM(OFFSET(S98,0,-MIN(Исходные!$C$32-1,S47),1,MIN(Исходные!$C$32,S47+1)))/Исходные!$C$32</f>
        <v>22.2393441481824</v>
      </c>
      <c r="T99" s="15" t="n">
        <f aca="true">SUM(OFFSET(T98,0,-MIN(Исходные!$C$32-1,T47),1,MIN(Исходные!$C$32,T47+1)))/Исходные!$C$32</f>
        <v>22.2393441481824</v>
      </c>
      <c r="U99" s="15" t="n">
        <f aca="true">SUM(OFFSET(U98,0,-MIN(Исходные!$C$32-1,U47),1,MIN(Исходные!$C$32,U47+1)))/Исходные!$C$32</f>
        <v>22.2393441481824</v>
      </c>
      <c r="V99" s="15" t="n">
        <f aca="true">SUM(OFFSET(V98,0,-MIN(Исходные!$C$32-1,V47),1,MIN(Исходные!$C$32,V47+1)))/Исходные!$C$32</f>
        <v>22.2393441481824</v>
      </c>
      <c r="W99" s="15" t="n">
        <f aca="true">SUM(OFFSET(W98,0,-MIN(Исходные!$C$32-1,W47),1,MIN(Исходные!$C$32,W47+1)))/Исходные!$C$32</f>
        <v>22.2393441481824</v>
      </c>
      <c r="X99" s="15" t="n">
        <f aca="true">SUM(OFFSET(X98,0,-MIN(Исходные!$C$32-1,X47),1,MIN(Исходные!$C$32,X47+1)))/Исходные!$C$32</f>
        <v>4.43446616021184</v>
      </c>
      <c r="Y99" s="15" t="n">
        <f aca="true">SUM(OFFSET(Y98,0,-MIN(Исходные!$C$32-1,Y47),1,MIN(Исходные!$C$32,Y47+1)))/Исходные!$C$32</f>
        <v>3.97732330306898</v>
      </c>
      <c r="Z99" s="15" t="n">
        <f aca="true">SUM(OFFSET(Z98,0,-MIN(Исходные!$C$32-1,Z47),1,MIN(Исходные!$C$32,Z47+1)))/Исходные!$C$32</f>
        <v>3.97732330306898</v>
      </c>
      <c r="AA99" s="15" t="n">
        <f aca="true">SUM(OFFSET(AA98,0,-MIN(Исходные!$C$32-1,AA47),1,MIN(Исходные!$C$32,AA47+1)))/Исходные!$C$32</f>
        <v>3.97732330306898</v>
      </c>
      <c r="AB99" s="15" t="n">
        <f aca="true">SUM(OFFSET(AB98,0,-MIN(Исходные!$C$32-1,AB47),1,MIN(Исходные!$C$32,AB47+1)))/Исходные!$C$32</f>
        <v>3.97732330306898</v>
      </c>
      <c r="AC99" s="15" t="n">
        <f aca="true">SUM(OFFSET(AC98,0,-MIN(Исходные!$C$32-1,AC47),1,MIN(Исходные!$C$32,AC47+1)))/Исходные!$C$32</f>
        <v>3.97732330306898</v>
      </c>
      <c r="AD99" s="15" t="n">
        <f aca="true">SUM(OFFSET(AD98,0,-MIN(Исходные!$C$32-1,AD47),1,MIN(Исходные!$C$32,AD47+1)))/Исходные!$C$32</f>
        <v>3.80589473164041</v>
      </c>
      <c r="AE99" s="15" t="n">
        <f aca="true">SUM(OFFSET(AE98,0,-MIN(Исходные!$C$32-1,AE47),1,MIN(Исходные!$C$32,AE47+1)))/Исходные!$C$32</f>
        <v>2.73675461002419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19.0018267215541</v>
      </c>
      <c r="J100" s="15" t="n">
        <f aca="false">I100+J99</f>
        <v>38.460796300251</v>
      </c>
      <c r="K100" s="15" t="n">
        <f aca="false">J100+K99</f>
        <v>57.9197658789479</v>
      </c>
      <c r="L100" s="15" t="n">
        <f aca="false">K100+L99</f>
        <v>77.3787354576448</v>
      </c>
      <c r="M100" s="15" t="n">
        <f aca="false">L100+M99</f>
        <v>96.8377050363418</v>
      </c>
      <c r="N100" s="15" t="n">
        <f aca="false">M100+N99</f>
        <v>116.296674615039</v>
      </c>
      <c r="O100" s="15" t="n">
        <f aca="false">N100+O99</f>
        <v>135.927072765164</v>
      </c>
      <c r="P100" s="15" t="n">
        <f aca="false">O100+P99</f>
        <v>156.626611036906</v>
      </c>
      <c r="Q100" s="15" t="n">
        <f aca="false">P100+Q99</f>
        <v>178.69452661366</v>
      </c>
      <c r="R100" s="15" t="n">
        <f aca="false">Q100+R99</f>
        <v>200.933870761842</v>
      </c>
      <c r="S100" s="15" t="n">
        <f aca="false">R100+S99</f>
        <v>223.173214910024</v>
      </c>
      <c r="T100" s="15" t="n">
        <f aca="false">S100+T99</f>
        <v>245.412559058207</v>
      </c>
      <c r="U100" s="15" t="n">
        <f aca="false">T100+U99</f>
        <v>267.651903206389</v>
      </c>
      <c r="V100" s="15" t="n">
        <f aca="false">U100+V99</f>
        <v>289.891247354572</v>
      </c>
      <c r="W100" s="15" t="n">
        <f aca="false">V100+W99</f>
        <v>312.130591502754</v>
      </c>
      <c r="X100" s="15" t="n">
        <f aca="false">W100+X99</f>
        <v>316.565057662966</v>
      </c>
      <c r="Y100" s="15" t="n">
        <f aca="false">X100+Y99</f>
        <v>320.542380966035</v>
      </c>
      <c r="Z100" s="15" t="n">
        <f aca="false">Y100+Z99</f>
        <v>324.519704269104</v>
      </c>
      <c r="AA100" s="15" t="n">
        <f aca="false">Z100+AA99</f>
        <v>328.497027572173</v>
      </c>
      <c r="AB100" s="15" t="n">
        <f aca="false">AA100+AB99</f>
        <v>332.474350875242</v>
      </c>
      <c r="AC100" s="15" t="n">
        <f aca="false">AB100+AC99</f>
        <v>336.451674178311</v>
      </c>
      <c r="AD100" s="15" t="n">
        <f aca="false">AC100+AD99</f>
        <v>340.257568909951</v>
      </c>
      <c r="AE100" s="15" t="n">
        <f aca="false">AD100+AE99</f>
        <v>342.994323519975</v>
      </c>
      <c r="AF100" s="15" t="n">
        <f aca="false">AE100+AF99</f>
        <v>344.362700824988</v>
      </c>
      <c r="AG100" s="15" t="n">
        <f aca="false">AF100+AG99</f>
        <v>345.559649558571</v>
      </c>
      <c r="AH100" s="15" t="n">
        <f aca="false">AG100+AH99</f>
        <v>346.756598292155</v>
      </c>
      <c r="AI100" s="15" t="n">
        <f aca="false">AH100+AI99</f>
        <v>347.953547025738</v>
      </c>
      <c r="AJ100" s="15" t="n">
        <f aca="false">AI100+AJ99</f>
        <v>349.150495759322</v>
      </c>
      <c r="AK100" s="15" t="n">
        <f aca="false">AJ100+AK99</f>
        <v>350.347444492905</v>
      </c>
      <c r="AL100" s="15" t="n">
        <f aca="false">AK100+AL99</f>
        <v>351.544393226489</v>
      </c>
      <c r="AM100" s="15" t="n">
        <f aca="false">AL100+AM99</f>
        <v>351.544393226489</v>
      </c>
      <c r="AN100" s="15" t="n">
        <f aca="false">AM100+AN99</f>
        <v>351.544393226489</v>
      </c>
      <c r="AO100" s="15" t="n">
        <f aca="false">AN100+AO99</f>
        <v>351.544393226489</v>
      </c>
      <c r="AP100" s="15" t="n">
        <f aca="false">AO100+AP99</f>
        <v>351.544393226489</v>
      </c>
      <c r="AQ100" s="15" t="n">
        <f aca="false">AP100+AQ99</f>
        <v>351.544393226489</v>
      </c>
      <c r="AR100" s="15" t="n">
        <f aca="false">AQ100+AR99</f>
        <v>351.544393226489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55.6012103897491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6.00341977309579</v>
      </c>
      <c r="J101" s="15" t="n">
        <f aca="false">J96*Исходные!$C$31*(J94-J100)</f>
        <v>5.57532244236446</v>
      </c>
      <c r="K101" s="15" t="n">
        <f aca="false">K96*Исходные!$C$31*(K94-K100)</f>
        <v>5.14722511163313</v>
      </c>
      <c r="L101" s="15" t="n">
        <f aca="false">L96*Исходные!$C$31*(L94-L100)</f>
        <v>4.7191277809018</v>
      </c>
      <c r="M101" s="15" t="n">
        <f aca="false">M96*Исходные!$C$31*(M94-M100)</f>
        <v>4.29103045017047</v>
      </c>
      <c r="N101" s="15" t="n">
        <f aca="false">N96*Исходные!$C$31*(N94-N100)</f>
        <v>3.91950454801056</v>
      </c>
      <c r="O101" s="15" t="n">
        <f aca="false">O96*Исходные!$C$31*(O94-O100)</f>
        <v>3.84045202884115</v>
      </c>
      <c r="P101" s="15" t="n">
        <f aca="false">P96*Исходные!$C$31*(P94-P100)</f>
        <v>3.83662669751683</v>
      </c>
      <c r="Q101" s="15" t="n">
        <f aca="false">Q96*Исходные!$C$31*(Q94-Q100)</f>
        <v>3.40770398339967</v>
      </c>
      <c r="R101" s="15" t="n">
        <f aca="false">R96*Исходные!$C$31*(R94-R100)</f>
        <v>2.91843841213966</v>
      </c>
      <c r="S101" s="15" t="n">
        <f aca="false">S96*Исходные!$C$31*(S94-S100)</f>
        <v>2.42917284087965</v>
      </c>
      <c r="T101" s="15" t="n">
        <f aca="false">T96*Исходные!$C$31*(T94-T100)</f>
        <v>1.93990726961963</v>
      </c>
      <c r="U101" s="15" t="n">
        <f aca="false">U96*Исходные!$C$31*(U94-U100)</f>
        <v>1.45064169835962</v>
      </c>
      <c r="V101" s="15" t="n">
        <f aca="false">V96*Исходные!$C$31*(V94-V100)</f>
        <v>0.961376127099609</v>
      </c>
      <c r="W101" s="15" t="n">
        <f aca="false">W96*Исходные!$C$31*(W94-W100)</f>
        <v>0.86710363792216</v>
      </c>
      <c r="X101" s="15" t="n">
        <f aca="false">X96*Исходные!$C$31*(X94-X100)</f>
        <v>0.769545382397499</v>
      </c>
      <c r="Y101" s="15" t="n">
        <f aca="false">Y96*Исходные!$C$31*(Y94-Y100)</f>
        <v>0.682044269729981</v>
      </c>
      <c r="Z101" s="15" t="n">
        <f aca="false">Z96*Исходные!$C$31*(Z94-Z100)</f>
        <v>0.594543157062463</v>
      </c>
      <c r="AA101" s="15" t="n">
        <f aca="false">AA96*Исходные!$C$31*(AA94-AA100)</f>
        <v>0.507042044394945</v>
      </c>
      <c r="AB101" s="15" t="n">
        <f aca="false">AB96*Исходные!$C$31*(AB94-AB100)</f>
        <v>0.419540931727427</v>
      </c>
      <c r="AC101" s="15" t="n">
        <f aca="false">AC96*Исходные!$C$31*(AC94-AC100)</f>
        <v>0.332039819059909</v>
      </c>
      <c r="AD101" s="15" t="n">
        <f aca="false">AD96*Исходные!$C$31*(AD94-AD100)</f>
        <v>0.24831013496382</v>
      </c>
      <c r="AE101" s="15" t="n">
        <f aca="false">AE96*Исходные!$C$31*(AE94-AE100)</f>
        <v>0.188101533543287</v>
      </c>
      <c r="AF101" s="15" t="n">
        <f aca="false">AF96*Исходные!$C$31*(AF94-AF100)</f>
        <v>0.157997232833022</v>
      </c>
      <c r="AG101" s="15" t="n">
        <f aca="false">AG96*Исходные!$C$31*(AG94-AG100)</f>
        <v>0.131664360694183</v>
      </c>
      <c r="AH101" s="15" t="n">
        <f aca="false">AH96*Исходные!$C$31*(AH94-AH100)</f>
        <v>0.105331488555345</v>
      </c>
      <c r="AI101" s="15" t="n">
        <f aca="false">AI96*Исходные!$C$31*(AI94-AI100)</f>
        <v>0.078998616416507</v>
      </c>
      <c r="AJ101" s="15" t="n">
        <f aca="false">AJ96*Исходные!$C$31*(AJ94-AJ100)</f>
        <v>0.0526657442776689</v>
      </c>
      <c r="AK101" s="15" t="n">
        <f aca="false">AK96*Исходные!$C$31*(AK94-AK100)</f>
        <v>0.0263328721388307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1259.44885634372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14.4509413678129</v>
      </c>
      <c r="J102" s="15" t="n">
        <f aca="false">J73-J74-J97-J101</f>
        <v>39.4434004951639</v>
      </c>
      <c r="K102" s="15" t="n">
        <f aca="false">K73-K74-K97-K101</f>
        <v>59.2547197636952</v>
      </c>
      <c r="L102" s="15" t="n">
        <f aca="false">L73-L74-L97-L101</f>
        <v>59.3072425951323</v>
      </c>
      <c r="M102" s="15" t="n">
        <f aca="false">M73-M74-M97-M101</f>
        <v>59.3597654265695</v>
      </c>
      <c r="N102" s="15" t="n">
        <f aca="false">N73-N74-N97-N101</f>
        <v>59.3171454008638</v>
      </c>
      <c r="O102" s="15" t="n">
        <f aca="false">O73-O74-O97-O101</f>
        <v>58.7800668933754</v>
      </c>
      <c r="P102" s="15" t="n">
        <f aca="false">P73-P74-P97-P101</f>
        <v>56.9286814713456</v>
      </c>
      <c r="Q102" s="15" t="n">
        <f aca="false">Q73-Q74-Q97-Q101</f>
        <v>56.9462113011911</v>
      </c>
      <c r="R102" s="15" t="n">
        <f aca="false">R73-R74-R97-R101</f>
        <v>57.0626554167508</v>
      </c>
      <c r="S102" s="15" t="n">
        <f aca="false">S73-S74-S97-S101</f>
        <v>57.1790995323106</v>
      </c>
      <c r="T102" s="15" t="n">
        <f aca="false">T73-T74-T97-T101</f>
        <v>57.2955436478703</v>
      </c>
      <c r="U102" s="15" t="n">
        <f aca="false">U73-U74-U97-U101</f>
        <v>57.4232853832998</v>
      </c>
      <c r="V102" s="15" t="n">
        <f aca="false">V73-V74-V97-V101</f>
        <v>53.4897618434948</v>
      </c>
      <c r="W102" s="15" t="n">
        <f aca="false">W73-W74-W97-W101</f>
        <v>49.1981581731465</v>
      </c>
      <c r="X102" s="15" t="n">
        <f aca="false">X73-X74-X97-X101</f>
        <v>45.4641775531001</v>
      </c>
      <c r="Y102" s="15" t="n">
        <f aca="false">Y73-Y74-Y97-Y101</f>
        <v>41.9854290433009</v>
      </c>
      <c r="Z102" s="15" t="n">
        <f aca="false">Z73-Z74-Z97-Z101</f>
        <v>38.7536016086759</v>
      </c>
      <c r="AA102" s="15" t="n">
        <f aca="false">AA73-AA74-AA97-AA101</f>
        <v>35.7515988527808</v>
      </c>
      <c r="AB102" s="15" t="n">
        <f aca="false">AB73-AB74-AB97-AB101</f>
        <v>32.9635081046639</v>
      </c>
      <c r="AC102" s="15" t="n">
        <f aca="false">AC73-AC74-AC97-AC101</f>
        <v>30.3745184597211</v>
      </c>
      <c r="AD102" s="15" t="n">
        <f aca="false">AD73-AD74-AD97-AD101</f>
        <v>27.9670730666908</v>
      </c>
      <c r="AE102" s="15" t="n">
        <f aca="false">AE73-AE74-AE97-AE101</f>
        <v>25.7085913280645</v>
      </c>
      <c r="AF102" s="15" t="n">
        <f aca="false">AF73-AF74-AF97-AF101</f>
        <v>23.580547475162</v>
      </c>
      <c r="AG102" s="15" t="n">
        <f aca="false">AG73-AG74-AG97-AG101</f>
        <v>21.5981587114276</v>
      </c>
      <c r="AH102" s="15" t="n">
        <f aca="false">AH73-AH74-AH97-AH101</f>
        <v>19.7548504267856</v>
      </c>
      <c r="AI102" s="15" t="n">
        <f aca="false">AI73-AI74-AI97-AI101</f>
        <v>18.0409929247567</v>
      </c>
      <c r="AJ102" s="15" t="n">
        <f aca="false">AJ73-AJ74-AJ97-AJ101</f>
        <v>16.4476232527133</v>
      </c>
      <c r="AK102" s="15" t="n">
        <f aca="false">AK73-AK74-AK97-AK101</f>
        <v>14.9663990376654</v>
      </c>
      <c r="AL102" s="15" t="n">
        <f aca="false">AL73-AL74-AL97-AL101</f>
        <v>13.5895555183798</v>
      </c>
      <c r="AM102" s="15" t="n">
        <f aca="false">AM73-AM74-AM97-AM101</f>
        <v>12.283532680382</v>
      </c>
      <c r="AN102" s="15" t="n">
        <f aca="false">AN73-AN74-AN97-AN101</f>
        <v>11.0679366485532</v>
      </c>
      <c r="AO102" s="15" t="n">
        <f aca="false">AO73-AO74-AO97-AO101</f>
        <v>9.93650642420612</v>
      </c>
      <c r="AP102" s="15" t="n">
        <f aca="false">AP73-AP74-AP97-AP101</f>
        <v>8.88341450958376</v>
      </c>
      <c r="AQ102" s="15" t="n">
        <f aca="false">AQ73-AQ74-AQ97-AQ101</f>
        <v>7.9032368929897</v>
      </c>
      <c r="AR102" s="15" t="n">
        <f aca="false">AR73-AR74-AR97-AR101</f>
        <v>6.99092511209776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228.113837117744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4.99610772911675</v>
      </c>
      <c r="K103" s="15" t="n">
        <f aca="false">MAX(0,K102-K99)*Исходные!$C$30</f>
        <v>9.94893754624956</v>
      </c>
      <c r="L103" s="15" t="n">
        <f aca="false">MAX(0,L102-L99)*Исходные!$C$30</f>
        <v>9.96206825410885</v>
      </c>
      <c r="M103" s="15" t="n">
        <f aca="false">MAX(0,M102-M99)*Исходные!$C$30</f>
        <v>9.97519896196814</v>
      </c>
      <c r="N103" s="15" t="n">
        <f aca="false">MAX(0,N102-N99)*Исходные!$C$30</f>
        <v>9.96454395554172</v>
      </c>
      <c r="O103" s="15" t="n">
        <f aca="false">MAX(0,O102-O99)*Исходные!$C$30</f>
        <v>9.78741718581248</v>
      </c>
      <c r="P103" s="15" t="n">
        <f aca="false">MAX(0,P102-P99)*Исходные!$C$30</f>
        <v>9.05728579990097</v>
      </c>
      <c r="Q103" s="15" t="n">
        <f aca="false">MAX(0,Q102-Q99)*Исходные!$C$30</f>
        <v>8.71957393110931</v>
      </c>
      <c r="R103" s="15" t="n">
        <f aca="false">MAX(0,R102-R99)*Исходные!$C$30</f>
        <v>8.70582781714211</v>
      </c>
      <c r="S103" s="15" t="n">
        <f aca="false">MAX(0,S102-S99)*Исходные!$C$30</f>
        <v>8.73493884603204</v>
      </c>
      <c r="T103" s="15" t="n">
        <f aca="false">MAX(0,T102-T99)*Исходные!$C$30</f>
        <v>8.76404987492198</v>
      </c>
      <c r="U103" s="15" t="n">
        <f aca="false">MAX(0,U102-U99)*Исходные!$C$30</f>
        <v>8.79598530877935</v>
      </c>
      <c r="V103" s="15" t="n">
        <f aca="false">MAX(0,V102-V99)*Исходные!$C$30</f>
        <v>7.81260442382811</v>
      </c>
      <c r="W103" s="15" t="n">
        <f aca="false">MAX(0,W102-W99)*Исходные!$C$30</f>
        <v>6.73970350624104</v>
      </c>
      <c r="X103" s="15" t="n">
        <f aca="false">MAX(0,X102-X99)*Исходные!$C$30</f>
        <v>10.2574278482221</v>
      </c>
      <c r="Y103" s="15" t="n">
        <f aca="false">MAX(0,Y102-Y99)*Исходные!$C$30</f>
        <v>9.50202643505798</v>
      </c>
      <c r="Z103" s="15" t="n">
        <f aca="false">MAX(0,Z102-Z99)*Исходные!$C$30</f>
        <v>8.69406957640173</v>
      </c>
      <c r="AA103" s="15" t="n">
        <f aca="false">MAX(0,AA102-AA99)*Исходные!$C$30</f>
        <v>7.94356888742795</v>
      </c>
      <c r="AB103" s="15" t="n">
        <f aca="false">MAX(0,AB102-AB99)*Исходные!$C$30</f>
        <v>7.24654620039874</v>
      </c>
      <c r="AC103" s="15" t="n">
        <f aca="false">MAX(0,AC102-AC99)*Исходные!$C$30</f>
        <v>6.59929878916303</v>
      </c>
      <c r="AD103" s="15" t="n">
        <f aca="false">MAX(0,AD102-AD99)*Исходные!$C$30</f>
        <v>6.0402945837626</v>
      </c>
      <c r="AE103" s="15" t="n">
        <f aca="false">MAX(0,AE102-AE99)*Исходные!$C$30</f>
        <v>5.74295917951008</v>
      </c>
      <c r="AF103" s="15" t="n">
        <f aca="false">MAX(0,AF102-AF99)*Исходные!$C$30</f>
        <v>5.55304254253747</v>
      </c>
      <c r="AG103" s="15" t="n">
        <f aca="false">MAX(0,AG102-AG99)*Исходные!$C$30</f>
        <v>5.10030249446102</v>
      </c>
      <c r="AH103" s="15" t="n">
        <f aca="false">MAX(0,AH102-AH99)*Исходные!$C$30</f>
        <v>4.63947542330051</v>
      </c>
      <c r="AI103" s="15" t="n">
        <f aca="false">MAX(0,AI102-AI99)*Исходные!$C$30</f>
        <v>4.2110110477933</v>
      </c>
      <c r="AJ103" s="15" t="n">
        <f aca="false">MAX(0,AJ102-AJ99)*Исходные!$C$30</f>
        <v>3.81266862978244</v>
      </c>
      <c r="AK103" s="15" t="n">
        <f aca="false">MAX(0,AK102-AK99)*Исходные!$C$30</f>
        <v>3.44236257602048</v>
      </c>
      <c r="AL103" s="15" t="n">
        <f aca="false">MAX(0,AL102-AL99)*Исходные!$C$30</f>
        <v>3.09815169619906</v>
      </c>
      <c r="AM103" s="15" t="n">
        <f aca="false">MAX(0,AM102-AM99)*Исходные!$C$30</f>
        <v>3.07088317009551</v>
      </c>
      <c r="AN103" s="15" t="n">
        <f aca="false">MAX(0,AN102-AN99)*Исходные!$C$30</f>
        <v>2.76698416213829</v>
      </c>
      <c r="AO103" s="15" t="n">
        <f aca="false">MAX(0,AO102-AO99)*Исходные!$C$30</f>
        <v>2.48412660605153</v>
      </c>
      <c r="AP103" s="15" t="n">
        <f aca="false">MAX(0,AP102-AP99)*Исходные!$C$30</f>
        <v>2.22085362739594</v>
      </c>
      <c r="AQ103" s="15" t="n">
        <f aca="false">MAX(0,AQ102-AQ99)*Исходные!$C$30</f>
        <v>1.97580922324742</v>
      </c>
      <c r="AR103" s="15" t="n">
        <f aca="false">MAX(0,AR102-AR99)*Исходные!$C$30</f>
        <v>1.74773127802444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679.790625999491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-112.805653442062</v>
      </c>
      <c r="H105" s="15" t="n">
        <f aca="false">H102-H103-H93</f>
        <v>-80.3228860833972</v>
      </c>
      <c r="I105" s="15" t="n">
        <f aca="false">I102-I103-I93</f>
        <v>7.59379851067005</v>
      </c>
      <c r="J105" s="15" t="n">
        <f aca="false">J102-J103-J93</f>
        <v>34.4472927660472</v>
      </c>
      <c r="K105" s="15" t="n">
        <f aca="false">K102-K103-K93</f>
        <v>49.3057822174456</v>
      </c>
      <c r="L105" s="15" t="n">
        <f aca="false">L102-L103-L93</f>
        <v>49.3451743410235</v>
      </c>
      <c r="M105" s="15" t="n">
        <f aca="false">M102-M103-M93</f>
        <v>49.3845664646014</v>
      </c>
      <c r="N105" s="15" t="n">
        <f aca="false">N102-N103-N93</f>
        <v>46.7811728738935</v>
      </c>
      <c r="O105" s="15" t="n">
        <f aca="false">O102-O103-O93</f>
        <v>32.9555478833197</v>
      </c>
      <c r="P105" s="15" t="n">
        <f aca="false">P102-P103-P93</f>
        <v>27.3457360962632</v>
      </c>
      <c r="Q105" s="15" t="n">
        <f aca="false">Q102-Q103-Q93</f>
        <v>45.6552087986532</v>
      </c>
      <c r="R105" s="15" t="n">
        <f aca="false">R102-R103-R93</f>
        <v>48.3568275996087</v>
      </c>
      <c r="S105" s="15" t="n">
        <f aca="false">S102-S103-S93</f>
        <v>48.4441606862785</v>
      </c>
      <c r="T105" s="15" t="n">
        <f aca="false">T102-T103-T93</f>
        <v>48.5314937729483</v>
      </c>
      <c r="U105" s="15" t="n">
        <f aca="false">U102-U103-U93</f>
        <v>48.6273000745204</v>
      </c>
      <c r="V105" s="15" t="n">
        <f aca="false">V102-V103-V93</f>
        <v>45.6771574196667</v>
      </c>
      <c r="W105" s="15" t="n">
        <f aca="false">W102-W103-W93</f>
        <v>24.5042236631526</v>
      </c>
      <c r="X105" s="15" t="n">
        <f aca="false">X102-X103-X93</f>
        <v>35.2067497048781</v>
      </c>
      <c r="Y105" s="15" t="n">
        <f aca="false">Y102-Y103-Y93</f>
        <v>32.4834026082429</v>
      </c>
      <c r="Z105" s="15" t="n">
        <f aca="false">Z102-Z103-Z93</f>
        <v>30.0595320322742</v>
      </c>
      <c r="AA105" s="15" t="n">
        <f aca="false">AA102-AA103-AA93</f>
        <v>27.8080299653528</v>
      </c>
      <c r="AB105" s="15" t="n">
        <f aca="false">AB102-AB103-AB93</f>
        <v>25.7169619042652</v>
      </c>
      <c r="AC105" s="15" t="n">
        <f aca="false">AC102-AC103-AC93</f>
        <v>23.7752196705581</v>
      </c>
      <c r="AD105" s="15" t="n">
        <f aca="false">AD102-AD103-AD93</f>
        <v>21.9267784829282</v>
      </c>
      <c r="AE105" s="15" t="n">
        <f aca="false">AE102-AE103-AE93</f>
        <v>19.9656321485544</v>
      </c>
      <c r="AF105" s="15" t="n">
        <f aca="false">AF102-AF103-AF93</f>
        <v>18.0275049326245</v>
      </c>
      <c r="AG105" s="15" t="n">
        <f aca="false">AG102-AG103-AG93</f>
        <v>16.4978562169666</v>
      </c>
      <c r="AH105" s="15" t="n">
        <f aca="false">AH102-AH103-AH93</f>
        <v>15.1153750034851</v>
      </c>
      <c r="AI105" s="15" t="n">
        <f aca="false">AI102-AI103-AI93</f>
        <v>13.8299818769634</v>
      </c>
      <c r="AJ105" s="15" t="n">
        <f aca="false">AJ102-AJ103-AJ93</f>
        <v>12.6349546229309</v>
      </c>
      <c r="AK105" s="15" t="n">
        <f aca="false">AK102-AK103-AK93</f>
        <v>11.524036461645</v>
      </c>
      <c r="AL105" s="15" t="n">
        <f aca="false">AL102-AL103-AL93</f>
        <v>10.4914038221807</v>
      </c>
      <c r="AM105" s="15" t="n">
        <f aca="false">AM102-AM103-AM93</f>
        <v>9.21264951028654</v>
      </c>
      <c r="AN105" s="15" t="n">
        <f aca="false">AN102-AN103-AN93</f>
        <v>8.30095248641487</v>
      </c>
      <c r="AO105" s="15" t="n">
        <f aca="false">AO102-AO103-AO93</f>
        <v>7.45237981815459</v>
      </c>
      <c r="AP105" s="15" t="n">
        <f aca="false">AP102-AP103-AP93</f>
        <v>6.66256088218782</v>
      </c>
      <c r="AQ105" s="15" t="n">
        <f aca="false">AQ102-AQ103-AQ93</f>
        <v>5.92742766974227</v>
      </c>
      <c r="AR105" s="15" t="n">
        <f aca="false">AR102-AR103-AR93</f>
        <v>5.24319383407332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16.893082825978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-88.8892317457925</v>
      </c>
      <c r="H107" s="15" t="n">
        <f aca="false">H105*H106</f>
        <v>-57.5393440576669</v>
      </c>
      <c r="I107" s="15" t="n">
        <f aca="false">I105*I106</f>
        <v>4.94529252796448</v>
      </c>
      <c r="J107" s="15" t="n">
        <f aca="false">J105*J106</f>
        <v>20.3936671943771</v>
      </c>
      <c r="K107" s="15" t="n">
        <f aca="false">K105*K106</f>
        <v>26.5366074201368</v>
      </c>
      <c r="L107" s="15" t="n">
        <f aca="false">L105*L106</f>
        <v>24.1434622264912</v>
      </c>
      <c r="M107" s="15" t="n">
        <f aca="false">M105*M106</f>
        <v>21.966123535656</v>
      </c>
      <c r="N107" s="15" t="n">
        <f aca="false">N105*N106</f>
        <v>18.9164918231802</v>
      </c>
      <c r="O107" s="15" t="n">
        <f aca="false">O105*O106</f>
        <v>12.1144957520669</v>
      </c>
      <c r="P107" s="15" t="n">
        <f aca="false">P105*P106</f>
        <v>9.13847522862757</v>
      </c>
      <c r="Q107" s="15" t="n">
        <f aca="false">Q105*Q106</f>
        <v>13.8701695143326</v>
      </c>
      <c r="R107" s="15" t="n">
        <f aca="false">R105*R106</f>
        <v>13.3553893038879</v>
      </c>
      <c r="S107" s="15" t="n">
        <f aca="false">S105*S106</f>
        <v>12.1631902892312</v>
      </c>
      <c r="T107" s="15" t="n">
        <f aca="false">T105*T106</f>
        <v>11.077379613571</v>
      </c>
      <c r="U107" s="15" t="n">
        <f aca="false">U105*U106</f>
        <v>10.0902250295558</v>
      </c>
      <c r="V107" s="15" t="n">
        <f aca="false">V105*V106</f>
        <v>8.61642433867721</v>
      </c>
      <c r="W107" s="15" t="n">
        <f aca="false">W105*W106</f>
        <v>4.20219568456991</v>
      </c>
      <c r="X107" s="15" t="n">
        <f aca="false">X105*X106</f>
        <v>5.48868835138222</v>
      </c>
      <c r="Y107" s="15" t="n">
        <f aca="false">Y105*Y106</f>
        <v>4.60374721540757</v>
      </c>
      <c r="Z107" s="15" t="n">
        <f aca="false">Z105*Z106</f>
        <v>3.87292854415555</v>
      </c>
      <c r="AA107" s="15" t="n">
        <f aca="false">AA105*AA106</f>
        <v>3.25712785529953</v>
      </c>
      <c r="AB107" s="15" t="n">
        <f aca="false">AB105*AB106</f>
        <v>2.73836641876542</v>
      </c>
      <c r="AC107" s="15" t="n">
        <f aca="false">AC105*AC106</f>
        <v>2.30146169983383</v>
      </c>
      <c r="AD107" s="15" t="n">
        <f aca="false">AD105*AD106</f>
        <v>1.92957364005849</v>
      </c>
      <c r="AE107" s="15" t="n">
        <f aca="false">AE105*AE106</f>
        <v>1.59726475472362</v>
      </c>
      <c r="AF107" s="15" t="n">
        <f aca="false">AF105*AF106</f>
        <v>1.3111029097055</v>
      </c>
      <c r="AG107" s="15" t="n">
        <f aca="false">AG105*AG106</f>
        <v>1.09077703869265</v>
      </c>
      <c r="AH107" s="15" t="n">
        <f aca="false">AH105*AH106</f>
        <v>0.908520464069555</v>
      </c>
      <c r="AI107" s="15" t="n">
        <f aca="false">AI105*AI106</f>
        <v>0.755691806884492</v>
      </c>
      <c r="AJ107" s="15" t="n">
        <f aca="false">AJ105*AJ106</f>
        <v>0.627630592318122</v>
      </c>
      <c r="AK107" s="15" t="n">
        <f aca="false">AK105*AK106</f>
        <v>0.520406073048923</v>
      </c>
      <c r="AL107" s="15" t="n">
        <f aca="false">AL105*AL106</f>
        <v>0.430703747853308</v>
      </c>
      <c r="AM107" s="15" t="n">
        <f aca="false">AM105*AM106</f>
        <v>0.343824572001288</v>
      </c>
      <c r="AN107" s="15" t="n">
        <f aca="false">AN105*AN106</f>
        <v>0.281635635147666</v>
      </c>
      <c r="AO107" s="15" t="n">
        <f aca="false">AO105*AO106</f>
        <v>0.229859243358195</v>
      </c>
      <c r="AP107" s="15" t="n">
        <f aca="false">AP105*AP106</f>
        <v>0.186816614359991</v>
      </c>
      <c r="AQ107" s="15" t="n">
        <f aca="false">AQ105*AQ106</f>
        <v>0.151094231660631</v>
      </c>
      <c r="AR107" s="15" t="n">
        <f aca="false">AR105*AR106</f>
        <v>0.121502398057867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-169.845886405465</v>
      </c>
      <c r="H108" s="15" t="n">
        <f aca="false">G108+H107</f>
        <v>-227.385230463132</v>
      </c>
      <c r="I108" s="15" t="n">
        <f aca="false">H108+I107</f>
        <v>-222.439937935168</v>
      </c>
      <c r="J108" s="15" t="n">
        <f aca="false">I108+J107</f>
        <v>-202.046270740791</v>
      </c>
      <c r="K108" s="15" t="n">
        <f aca="false">J108+K107</f>
        <v>-175.509663320654</v>
      </c>
      <c r="L108" s="15" t="n">
        <f aca="false">K108+L107</f>
        <v>-151.366201094163</v>
      </c>
      <c r="M108" s="15" t="n">
        <f aca="false">L108+M107</f>
        <v>-129.400077558507</v>
      </c>
      <c r="N108" s="15" t="n">
        <f aca="false">M108+N107</f>
        <v>-110.483585735327</v>
      </c>
      <c r="O108" s="15" t="n">
        <f aca="false">N108+O107</f>
        <v>-98.3690899832596</v>
      </c>
      <c r="P108" s="15" t="n">
        <f aca="false">O108+P107</f>
        <v>-89.230614754632</v>
      </c>
      <c r="Q108" s="15" t="n">
        <f aca="false">P108+Q107</f>
        <v>-75.3604452402994</v>
      </c>
      <c r="R108" s="15" t="n">
        <f aca="false">Q108+R107</f>
        <v>-62.0050559364116</v>
      </c>
      <c r="S108" s="15" t="n">
        <f aca="false">R108+S107</f>
        <v>-49.8418656471803</v>
      </c>
      <c r="T108" s="15" t="n">
        <f aca="false">S108+T107</f>
        <v>-38.7644860336094</v>
      </c>
      <c r="U108" s="15" t="n">
        <f aca="false">T108+U107</f>
        <v>-28.6742610040535</v>
      </c>
      <c r="V108" s="15" t="n">
        <f aca="false">U108+V107</f>
        <v>-20.0578366653763</v>
      </c>
      <c r="W108" s="15" t="n">
        <f aca="false">V108+W107</f>
        <v>-15.8556409808064</v>
      </c>
      <c r="X108" s="15" t="n">
        <f aca="false">W108+X107</f>
        <v>-10.3669526294242</v>
      </c>
      <c r="Y108" s="15" t="n">
        <f aca="false">X108+Y107</f>
        <v>-5.76320541401661</v>
      </c>
      <c r="Z108" s="15" t="n">
        <f aca="false">Y108+Z107</f>
        <v>-1.89027686986106</v>
      </c>
      <c r="AA108" s="15" t="n">
        <f aca="false">Z108+AA107</f>
        <v>1.36685098543847</v>
      </c>
      <c r="AB108" s="15" t="n">
        <f aca="false">AA108+AB107</f>
        <v>4.10521740420389</v>
      </c>
      <c r="AC108" s="15" t="n">
        <f aca="false">AB108+AC107</f>
        <v>6.40667910403772</v>
      </c>
      <c r="AD108" s="15" t="n">
        <f aca="false">AC108+AD107</f>
        <v>8.3362527440962</v>
      </c>
      <c r="AE108" s="15" t="n">
        <f aca="false">AD108+AE107</f>
        <v>9.93351749881983</v>
      </c>
      <c r="AF108" s="15" t="n">
        <f aca="false">AE108+AF107</f>
        <v>11.2446204085253</v>
      </c>
      <c r="AG108" s="15" t="n">
        <f aca="false">AF108+AG107</f>
        <v>12.335397447218</v>
      </c>
      <c r="AH108" s="15" t="n">
        <f aca="false">AG108+AH107</f>
        <v>13.2439179112875</v>
      </c>
      <c r="AI108" s="15" t="n">
        <f aca="false">AH108+AI107</f>
        <v>13.999609718172</v>
      </c>
      <c r="AJ108" s="15" t="n">
        <f aca="false">AI108+AJ107</f>
        <v>14.6272403104902</v>
      </c>
      <c r="AK108" s="15" t="n">
        <f aca="false">AJ108+AK107</f>
        <v>15.1476463835391</v>
      </c>
      <c r="AL108" s="15" t="n">
        <f aca="false">AK108+AL107</f>
        <v>15.5783501313924</v>
      </c>
      <c r="AM108" s="15" t="n">
        <f aca="false">AL108+AM107</f>
        <v>15.9221747033937</v>
      </c>
      <c r="AN108" s="15" t="n">
        <f aca="false">AM108+AN107</f>
        <v>16.2038103385413</v>
      </c>
      <c r="AO108" s="15" t="n">
        <f aca="false">AN108+AO107</f>
        <v>16.4336695818995</v>
      </c>
      <c r="AP108" s="15" t="n">
        <f aca="false">AO108+AP107</f>
        <v>16.6204861962595</v>
      </c>
      <c r="AQ108" s="15" t="n">
        <f aca="false">AP108+AQ107</f>
        <v>16.7715804279202</v>
      </c>
      <c r="AR108" s="15" t="n">
        <f aca="false">AQ108+AR107</f>
        <v>16.893082825978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1</v>
      </c>
      <c r="AB109" s="40" t="n">
        <f aca="false">IF(OR(AA109=1,AND(AB108&gt;0,AB46&gt;2031)),1,0)</f>
        <v>1</v>
      </c>
      <c r="AC109" s="40" t="n">
        <f aca="false">IF(OR(AB109=1,AND(AC108&gt;0,AC46&gt;2031)),1,0)</f>
        <v>1</v>
      </c>
      <c r="AD109" s="40" t="n">
        <f aca="false">IF(OR(AC109=1,AND(AD108&gt;0,AD46&gt;2031)),1,0)</f>
        <v>1</v>
      </c>
      <c r="AE109" s="40" t="n">
        <f aca="false">IF(OR(AD109=1,AND(AE108&gt;0,AE46&gt;2031)),1,0)</f>
        <v>1</v>
      </c>
      <c r="AF109" s="40" t="n">
        <f aca="false">IF(OR(AE109=1,AND(AF108&gt;0,AF46&gt;2031)),1,0)</f>
        <v>1</v>
      </c>
      <c r="AG109" s="40" t="n">
        <f aca="false">IF(OR(AF109=1,AND(AG108&gt;0,AG46&gt;2031)),1,0)</f>
        <v>1</v>
      </c>
      <c r="AH109" s="40" t="n">
        <f aca="false">IF(OR(AG109=1,AND(AH108&gt;0,AH46&gt;2031)),1,0)</f>
        <v>1</v>
      </c>
      <c r="AI109" s="40" t="n">
        <f aca="false">IF(OR(AH109=1,AND(AI108&gt;0,AI46&gt;2031)),1,0)</f>
        <v>1</v>
      </c>
      <c r="AJ109" s="40" t="n">
        <f aca="false">IF(OR(AI109=1,AND(AJ108&gt;0,AJ46&gt;2031)),1,0)</f>
        <v>1</v>
      </c>
      <c r="AK109" s="40" t="n">
        <f aca="false">IF(OR(AJ109=1,AND(AK108&gt;0,AK46&gt;2031)),1,0)</f>
        <v>1</v>
      </c>
      <c r="AL109" s="40" t="n">
        <f aca="false">IF(OR(AK109=1,AND(AL108&gt;0,AL46&gt;2031)),1,0)</f>
        <v>1</v>
      </c>
      <c r="AM109" s="40" t="n">
        <f aca="false">IF(OR(AL109=1,AND(AM108&gt;0,AM46&gt;2031)),1,0)</f>
        <v>1</v>
      </c>
      <c r="AN109" s="40" t="n">
        <f aca="false">IF(OR(AM109=1,AND(AN108&gt;0,AN46&gt;2031)),1,0)</f>
        <v>1</v>
      </c>
      <c r="AO109" s="40" t="n">
        <f aca="false">IF(OR(AN109=1,AND(AO108&gt;0,AO46&gt;2031)),1,0)</f>
        <v>1</v>
      </c>
      <c r="AP109" s="40" t="n">
        <f aca="false">IF(OR(AO109=1,AND(AP108&gt;0,AP46&gt;2031)),1,0)</f>
        <v>1</v>
      </c>
      <c r="AQ109" s="40" t="n">
        <f aca="false">IF(OR(AP109=1,AND(AQ108&gt;0,AQ46&gt;2031)),1,0)</f>
        <v>1</v>
      </c>
      <c r="AR109" s="40" t="n">
        <f aca="false">IF(OR(AQ109=1,AND(AR108&gt;0,AR46&gt;2031)),1,0)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419</v>
      </c>
    </row>
    <row r="3" customFormat="false" ht="15" hidden="false" customHeight="false" outlineLevel="0" collapsed="false">
      <c r="B3" s="2" t="s">
        <v>420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22.5117962619646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0.110444786475962</v>
      </c>
    </row>
    <row r="7" customFormat="false" ht="15" hidden="false" customHeight="false" outlineLevel="0" collapsed="false">
      <c r="B7" s="8" t="s">
        <v>32</v>
      </c>
      <c r="C7" s="40" t="n">
        <f aca="false">IF(SUM(E109:AR109)=0,"нет",2067-SUM(E109:AR109))</f>
        <v>2048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1.08789407798189</v>
      </c>
    </row>
    <row r="9" customFormat="false" ht="15" hidden="false" customHeight="false" outlineLevel="0" collapsed="false">
      <c r="B9" s="8" t="s">
        <v>34</v>
      </c>
      <c r="C9" s="41" t="n">
        <f aca="false">D93</f>
        <v>362.294393226489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Сценарии!$H$6</f>
        <v>T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Сценарии!$H$7</f>
        <v>T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Сценарии!$H$8</f>
        <v>1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Сценарии!$H$9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Сценарии!$H$10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Сценарии!$H$11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Сценарии!$H$12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Сценарии!$H$13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Сценарии!$H$14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Сценарии!$H$15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Сценарии!$H$16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Сценарии!$H$17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Сценарии!$H$18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Сценарии!$H$19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Сценарии!$H$20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Сценарии!$H$21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Сценарии!$H$22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Сценарии!$H$23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Сценарии!$H$24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41.3344884872284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988.429214607304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36.5653039339633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5201.39108111017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6.34412901506064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0.186592029854725</v>
      </c>
      <c r="L59" s="54" t="n">
        <f aca="false">IF(AND($D$17=1,L46&gt;=Исходные!$C$42,L52&gt;0),$D$44,0)</f>
        <v>0.186592029854725</v>
      </c>
      <c r="M59" s="54" t="n">
        <f aca="false">IF(AND($D$17=1,M46&gt;=Исходные!$C$42,M52&gt;0),$D$44,0)</f>
        <v>0.186592029854725</v>
      </c>
      <c r="N59" s="54" t="n">
        <f aca="false">IF(AND($D$17=1,N46&gt;=Исходные!$C$42,N52&gt;0),$D$44,0)</f>
        <v>0.186592029854725</v>
      </c>
      <c r="O59" s="54" t="n">
        <f aca="false">IF(AND($D$17=1,O46&gt;=Исходные!$C$42,O52&gt;0),$D$44,0)</f>
        <v>0.186592029854725</v>
      </c>
      <c r="P59" s="54" t="n">
        <f aca="false">IF(AND($D$17=1,P46&gt;=Исходные!$C$42,P52&gt;0),$D$44,0)</f>
        <v>0.186592029854725</v>
      </c>
      <c r="Q59" s="54" t="n">
        <f aca="false">IF(AND($D$17=1,Q46&gt;=Исходные!$C$42,Q52&gt;0),$D$44,0)</f>
        <v>0.186592029854725</v>
      </c>
      <c r="R59" s="54" t="n">
        <f aca="false">IF(AND($D$17=1,R46&gt;=Исходные!$C$42,R52&gt;0),$D$44,0)</f>
        <v>0.186592029854725</v>
      </c>
      <c r="S59" s="54" t="n">
        <f aca="false">IF(AND($D$17=1,S46&gt;=Исходные!$C$42,S52&gt;0),$D$44,0)</f>
        <v>0.186592029854725</v>
      </c>
      <c r="T59" s="54" t="n">
        <f aca="false">IF(AND($D$17=1,T46&gt;=Исходные!$C$42,T52&gt;0),$D$44,0)</f>
        <v>0.186592029854725</v>
      </c>
      <c r="U59" s="54" t="n">
        <f aca="false">IF(AND($D$17=1,U46&gt;=Исходные!$C$42,U52&gt;0),$D$44,0)</f>
        <v>0.186592029854725</v>
      </c>
      <c r="V59" s="54" t="n">
        <f aca="false">IF(AND($D$17=1,V46&gt;=Исходные!$C$42,V52&gt;0),$D$44,0)</f>
        <v>0.186592029854725</v>
      </c>
      <c r="W59" s="54" t="n">
        <f aca="false">IF(AND($D$17=1,W46&gt;=Исходные!$C$42,W52&gt;0),$D$44,0)</f>
        <v>0.186592029854725</v>
      </c>
      <c r="X59" s="54" t="n">
        <f aca="false">IF(AND($D$17=1,X46&gt;=Исходные!$C$42,X52&gt;0),$D$44,0)</f>
        <v>0.186592029854725</v>
      </c>
      <c r="Y59" s="54" t="n">
        <f aca="false">IF(AND($D$17=1,Y46&gt;=Исходные!$C$42,Y52&gt;0),$D$44,0)</f>
        <v>0.186592029854725</v>
      </c>
      <c r="Z59" s="54" t="n">
        <f aca="false">IF(AND($D$17=1,Z46&gt;=Исходные!$C$42,Z52&gt;0),$D$44,0)</f>
        <v>0.186592029854725</v>
      </c>
      <c r="AA59" s="54" t="n">
        <f aca="false">IF(AND($D$17=1,AA46&gt;=Исходные!$C$42,AA52&gt;0),$D$44,0)</f>
        <v>0.186592029854725</v>
      </c>
      <c r="AB59" s="54" t="n">
        <f aca="false">IF(AND($D$17=1,AB46&gt;=Исходные!$C$42,AB52&gt;0),$D$44,0)</f>
        <v>0.186592029854725</v>
      </c>
      <c r="AC59" s="54" t="n">
        <f aca="false">IF(AND($D$17=1,AC46&gt;=Исходные!$C$42,AC52&gt;0),$D$44,0)</f>
        <v>0.186592029854725</v>
      </c>
      <c r="AD59" s="54" t="n">
        <f aca="false">IF(AND($D$17=1,AD46&gt;=Исходные!$C$42,AD52&gt;0),$D$44,0)</f>
        <v>0.186592029854725</v>
      </c>
      <c r="AE59" s="54" t="n">
        <f aca="false">IF(AND($D$17=1,AE46&gt;=Исходные!$C$42,AE52&gt;0),$D$44,0)</f>
        <v>0.186592029854725</v>
      </c>
      <c r="AF59" s="54" t="n">
        <f aca="false">IF(AND($D$17=1,AF46&gt;=Исходные!$C$42,AF52&gt;0),$D$44,0)</f>
        <v>0.186592029854725</v>
      </c>
      <c r="AG59" s="54" t="n">
        <f aca="false">IF(AND($D$17=1,AG46&gt;=Исходные!$C$42,AG52&gt;0),$D$44,0)</f>
        <v>0.186592029854725</v>
      </c>
      <c r="AH59" s="54" t="n">
        <f aca="false">IF(AND($D$17=1,AH46&gt;=Исходные!$C$42,AH52&gt;0),$D$44,0)</f>
        <v>0.186592029854725</v>
      </c>
      <c r="AI59" s="54" t="n">
        <f aca="false">IF(AND($D$17=1,AI46&gt;=Исходные!$C$42,AI52&gt;0),$D$44,0)</f>
        <v>0.186592029854725</v>
      </c>
      <c r="AJ59" s="54" t="n">
        <f aca="false">IF(AND($D$17=1,AJ46&gt;=Исходные!$C$42,AJ52&gt;0),$D$44,0)</f>
        <v>0.186592029854725</v>
      </c>
      <c r="AK59" s="54" t="n">
        <f aca="false">IF(AND($D$17=1,AK46&gt;=Исходные!$C$42,AK52&gt;0),$D$44,0)</f>
        <v>0.186592029854725</v>
      </c>
      <c r="AL59" s="54" t="n">
        <f aca="false">IF(AND($D$17=1,AL46&gt;=Исходные!$C$42,AL52&gt;0),$D$44,0)</f>
        <v>0.186592029854725</v>
      </c>
      <c r="AM59" s="54" t="n">
        <f aca="false">IF(AND($D$17=1,AM46&gt;=Исходные!$C$42,AM52&gt;0),$D$44,0)</f>
        <v>0.186592029854725</v>
      </c>
      <c r="AN59" s="54" t="n">
        <f aca="false">IF(AND($D$17=1,AN46&gt;=Исходные!$C$42,AN52&gt;0),$D$44,0)</f>
        <v>0.186592029854725</v>
      </c>
      <c r="AO59" s="54" t="n">
        <f aca="false">IF(AND($D$17=1,AO46&gt;=Исходные!$C$42,AO52&gt;0),$D$44,0)</f>
        <v>0.186592029854725</v>
      </c>
      <c r="AP59" s="54" t="n">
        <f aca="false">IF(AND($D$17=1,AP46&gt;=Исходные!$C$42,AP52&gt;0),$D$44,0)</f>
        <v>0.186592029854725</v>
      </c>
      <c r="AQ59" s="54" t="n">
        <f aca="false">IF(AND($D$17=1,AQ46&gt;=Исходные!$C$42,AQ52&gt;0),$D$44,0)</f>
        <v>0.186592029854725</v>
      </c>
      <c r="AR59" s="54" t="n">
        <f aca="false">IF(AND($D$17=1,AR46&gt;=Исходные!$C$42,AR52&gt;0),$D$44,0)</f>
        <v>0.186592029854725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257.231589394239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4.15140270135068</v>
      </c>
      <c r="J60" s="15" t="n">
        <f aca="false">J58*$D$37/1000-J59</f>
        <v>8.30280540270135</v>
      </c>
      <c r="K60" s="15" t="n">
        <f aca="false">K58*$D$37/1000-K59</f>
        <v>11.4373355339272</v>
      </c>
      <c r="L60" s="15" t="n">
        <f aca="false">L58*$D$37/1000-L59</f>
        <v>11.4373355339272</v>
      </c>
      <c r="M60" s="15" t="n">
        <f aca="false">M58*$D$37/1000-M59</f>
        <v>11.4373355339272</v>
      </c>
      <c r="N60" s="15" t="n">
        <f aca="false">N58*$D$37/1000-N59</f>
        <v>11.4373355339272</v>
      </c>
      <c r="O60" s="15" t="n">
        <f aca="false">O58*$D$37/1000-O59</f>
        <v>11.4373355339272</v>
      </c>
      <c r="P60" s="15" t="n">
        <f aca="false">P58*$D$37/1000-P59</f>
        <v>11.2594182752979</v>
      </c>
      <c r="Q60" s="15" t="n">
        <f aca="false">Q58*$D$37/1000-Q59</f>
        <v>11.2594182752979</v>
      </c>
      <c r="R60" s="15" t="n">
        <f aca="false">R58*$D$37/1000-R59</f>
        <v>11.2594182752979</v>
      </c>
      <c r="S60" s="15" t="n">
        <f aca="false">S58*$D$37/1000-S59</f>
        <v>11.2594182752979</v>
      </c>
      <c r="T60" s="15" t="n">
        <f aca="false">T58*$D$37/1000-T59</f>
        <v>11.2594182752979</v>
      </c>
      <c r="U60" s="15" t="n">
        <f aca="false">U58*$D$37/1000-U59</f>
        <v>11.2594182752979</v>
      </c>
      <c r="V60" s="15" t="n">
        <f aca="false">V58*$D$37/1000-V59</f>
        <v>10.4669159352489</v>
      </c>
      <c r="W60" s="15" t="n">
        <f aca="false">W58*$D$37/1000-W59</f>
        <v>9.72928511306861</v>
      </c>
      <c r="X60" s="15" t="n">
        <f aca="false">X58*$D$37/1000-X59</f>
        <v>9.04272659792673</v>
      </c>
      <c r="Y60" s="15" t="n">
        <f aca="false">Y58*$D$37/1000-Y59</f>
        <v>8.40370422990726</v>
      </c>
      <c r="Z60" s="15" t="n">
        <f aca="false">Z58*$D$37/1000-Z59</f>
        <v>7.80892668680911</v>
      </c>
      <c r="AA60" s="15" t="n">
        <f aca="false">AA58*$D$37/1000-AA59</f>
        <v>7.25533053199799</v>
      </c>
      <c r="AB60" s="15" t="n">
        <f aca="false">AB58*$D$37/1000-AB59</f>
        <v>6.74006443599631</v>
      </c>
      <c r="AC60" s="15" t="n">
        <f aca="false">AC58*$D$37/1000-AC59</f>
        <v>6.26047449054337</v>
      </c>
      <c r="AD60" s="15" t="n">
        <f aca="false">AD58*$D$37/1000-AD59</f>
        <v>5.81409053948521</v>
      </c>
      <c r="AE60" s="15" t="n">
        <f aca="false">AE58*$D$37/1000-AE59</f>
        <v>5.39861345609033</v>
      </c>
      <c r="AF60" s="15" t="n">
        <f aca="false">AF58*$D$37/1000-AF59</f>
        <v>5.01190330126259</v>
      </c>
      <c r="AG60" s="15" t="n">
        <f aca="false">AG58*$D$37/1000-AG59</f>
        <v>4.65196830165935</v>
      </c>
      <c r="AH60" s="15" t="n">
        <f aca="false">AH58*$D$37/1000-AH59</f>
        <v>4.31695459094597</v>
      </c>
      <c r="AI60" s="15" t="n">
        <f aca="false">AI58*$D$37/1000-AI59</f>
        <v>4.00513666134851</v>
      </c>
      <c r="AJ60" s="15" t="n">
        <f aca="false">AJ58*$D$37/1000-AJ59</f>
        <v>3.71490847632466</v>
      </c>
      <c r="AK60" s="15" t="n">
        <f aca="false">AK58*$D$37/1000-AK59</f>
        <v>3.44477519857833</v>
      </c>
      <c r="AL60" s="15" t="n">
        <f aca="false">AL58*$D$37/1000-AL59</f>
        <v>3.19334549081242</v>
      </c>
      <c r="AM60" s="15" t="n">
        <f aca="false">AM58*$D$37/1000-AM59</f>
        <v>2.95932434956445</v>
      </c>
      <c r="AN60" s="15" t="n">
        <f aca="false">AN58*$D$37/1000-AN59</f>
        <v>2.74150643521524</v>
      </c>
      <c r="AO60" s="15" t="n">
        <f aca="false">AO58*$D$37/1000-AO59</f>
        <v>2.53876986381647</v>
      </c>
      <c r="AP60" s="15" t="n">
        <f aca="false">AP58*$D$37/1000-AP59</f>
        <v>2.3500704287616</v>
      </c>
      <c r="AQ60" s="15" t="n">
        <f aca="false">AQ58*$D$37/1000-AQ59</f>
        <v>2.17443622253844</v>
      </c>
      <c r="AR60" s="15" t="n">
        <f aca="false">AR58*$D$37/1000-AR59</f>
        <v>2.01096263086249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11.0223042147035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0.173604851646359</v>
      </c>
      <c r="J61" s="54" t="n">
        <f aca="false">J58*$D$34/1000</f>
        <v>0.347209703292719</v>
      </c>
      <c r="K61" s="54" t="n">
        <f aca="false">K58*$D$34/1000</f>
        <v>0.486093584609806</v>
      </c>
      <c r="L61" s="54" t="n">
        <f aca="false">L58*$D$34/1000</f>
        <v>0.486093584609806</v>
      </c>
      <c r="M61" s="54" t="n">
        <f aca="false">M58*$D$34/1000</f>
        <v>0.486093584609806</v>
      </c>
      <c r="N61" s="54" t="n">
        <f aca="false">N58*$D$34/1000</f>
        <v>0.486093584609806</v>
      </c>
      <c r="O61" s="54" t="n">
        <f aca="false">O58*$D$34/1000</f>
        <v>0.486093584609806</v>
      </c>
      <c r="P61" s="54" t="n">
        <f aca="false">P58*$D$34/1000</f>
        <v>0.478653376682105</v>
      </c>
      <c r="Q61" s="54" t="n">
        <f aca="false">Q58*$D$34/1000</f>
        <v>0.478653376682105</v>
      </c>
      <c r="R61" s="54" t="n">
        <f aca="false">R58*$D$34/1000</f>
        <v>0.478653376682105</v>
      </c>
      <c r="S61" s="54" t="n">
        <f aca="false">S58*$D$34/1000</f>
        <v>0.478653376682105</v>
      </c>
      <c r="T61" s="54" t="n">
        <f aca="false">T58*$D$34/1000</f>
        <v>0.478653376682105</v>
      </c>
      <c r="U61" s="54" t="n">
        <f aca="false">U58*$D$34/1000</f>
        <v>0.478653376682105</v>
      </c>
      <c r="V61" s="54" t="n">
        <f aca="false">V58*$D$34/1000</f>
        <v>0.445512228720521</v>
      </c>
      <c r="W61" s="54" t="n">
        <f aca="false">W58*$D$34/1000</f>
        <v>0.41466571763338</v>
      </c>
      <c r="X61" s="54" t="n">
        <f aca="false">X58*$D$34/1000</f>
        <v>0.38595496665541</v>
      </c>
      <c r="Y61" s="54" t="n">
        <f aca="false">Y58*$D$34/1000</f>
        <v>0.359232099379097</v>
      </c>
      <c r="Z61" s="54" t="n">
        <f aca="false">Z58*$D$34/1000</f>
        <v>0.334359478108569</v>
      </c>
      <c r="AA61" s="54" t="n">
        <f aca="false">AA58*$D$34/1000</f>
        <v>0.311208994948573</v>
      </c>
      <c r="AB61" s="54" t="n">
        <f aca="false">AB58*$D$34/1000</f>
        <v>0.28966141197724</v>
      </c>
      <c r="AC61" s="54" t="n">
        <f aca="false">AC58*$D$34/1000</f>
        <v>0.269605747104171</v>
      </c>
      <c r="AD61" s="54" t="n">
        <f aca="false">AD58*$D$34/1000</f>
        <v>0.250938702450672</v>
      </c>
      <c r="AE61" s="54" t="n">
        <f aca="false">AE58*$D$34/1000</f>
        <v>0.233564132307968</v>
      </c>
      <c r="AF61" s="54" t="n">
        <f aca="false">AF58*$D$34/1000</f>
        <v>0.217392547933084</v>
      </c>
      <c r="AG61" s="54" t="n">
        <f aca="false">AG58*$D$34/1000</f>
        <v>0.202340656631833</v>
      </c>
      <c r="AH61" s="54" t="n">
        <f aca="false">AH58*$D$34/1000</f>
        <v>0.188330932754896</v>
      </c>
      <c r="AI61" s="54" t="n">
        <f aca="false">AI58*$D$34/1000</f>
        <v>0.175291218397426</v>
      </c>
      <c r="AJ61" s="54" t="n">
        <f aca="false">AJ58*$D$34/1000</f>
        <v>0.163154351745519</v>
      </c>
      <c r="AK61" s="54" t="n">
        <f aca="false">AK58*$D$34/1000</f>
        <v>0.151857821155356</v>
      </c>
      <c r="AL61" s="54" t="n">
        <f aca="false">AL58*$D$34/1000</f>
        <v>0.141343443183306</v>
      </c>
      <c r="AM61" s="54" t="n">
        <f aca="false">AM58*$D$34/1000</f>
        <v>0.131557062908695</v>
      </c>
      <c r="AN61" s="54" t="n">
        <f aca="false">AN58*$D$34/1000</f>
        <v>0.122448275005703</v>
      </c>
      <c r="AO61" s="54" t="n">
        <f aca="false">AO58*$D$34/1000</f>
        <v>0.113970164127776</v>
      </c>
      <c r="AP61" s="54" t="n">
        <f aca="false">AP58*$D$34/1000</f>
        <v>0.106079063267386</v>
      </c>
      <c r="AQ61" s="54" t="n">
        <f aca="false">AQ58*$D$34/1000</f>
        <v>0.0987343288465414</v>
      </c>
      <c r="AR61" s="54" t="n">
        <f aca="false">AR58*$D$34/1000</f>
        <v>0.0918981313796547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1.36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0.04</v>
      </c>
      <c r="L64" s="54" t="n">
        <f aca="false">IF(L59&gt;0,Исходные!$C$39/1000,0)</f>
        <v>0.04</v>
      </c>
      <c r="M64" s="54" t="n">
        <f aca="false">IF(M59&gt;0,Исходные!$C$39/1000,0)</f>
        <v>0.04</v>
      </c>
      <c r="N64" s="54" t="n">
        <f aca="false">IF(N59&gt;0,Исходные!$C$39/1000,0)</f>
        <v>0.04</v>
      </c>
      <c r="O64" s="54" t="n">
        <f aca="false">IF(O59&gt;0,Исходные!$C$39/1000,0)</f>
        <v>0.04</v>
      </c>
      <c r="P64" s="54" t="n">
        <f aca="false">IF(P59&gt;0,Исходные!$C$39/1000,0)</f>
        <v>0.04</v>
      </c>
      <c r="Q64" s="54" t="n">
        <f aca="false">IF(Q59&gt;0,Исходные!$C$39/1000,0)</f>
        <v>0.04</v>
      </c>
      <c r="R64" s="54" t="n">
        <f aca="false">IF(R59&gt;0,Исходные!$C$39/1000,0)</f>
        <v>0.04</v>
      </c>
      <c r="S64" s="54" t="n">
        <f aca="false">IF(S59&gt;0,Исходные!$C$39/1000,0)</f>
        <v>0.04</v>
      </c>
      <c r="T64" s="54" t="n">
        <f aca="false">IF(T59&gt;0,Исходные!$C$39/1000,0)</f>
        <v>0.04</v>
      </c>
      <c r="U64" s="54" t="n">
        <f aca="false">IF(U59&gt;0,Исходные!$C$39/1000,0)</f>
        <v>0.04</v>
      </c>
      <c r="V64" s="54" t="n">
        <f aca="false">IF(V59&gt;0,Исходные!$C$39/1000,0)</f>
        <v>0.04</v>
      </c>
      <c r="W64" s="54" t="n">
        <f aca="false">IF(W59&gt;0,Исходные!$C$39/1000,0)</f>
        <v>0.04</v>
      </c>
      <c r="X64" s="54" t="n">
        <f aca="false">IF(X59&gt;0,Исходные!$C$39/1000,0)</f>
        <v>0.04</v>
      </c>
      <c r="Y64" s="54" t="n">
        <f aca="false">IF(Y59&gt;0,Исходные!$C$39/1000,0)</f>
        <v>0.04</v>
      </c>
      <c r="Z64" s="54" t="n">
        <f aca="false">IF(Z59&gt;0,Исходные!$C$39/1000,0)</f>
        <v>0.04</v>
      </c>
      <c r="AA64" s="54" t="n">
        <f aca="false">IF(AA59&gt;0,Исходные!$C$39/1000,0)</f>
        <v>0.04</v>
      </c>
      <c r="AB64" s="54" t="n">
        <f aca="false">IF(AB59&gt;0,Исходные!$C$39/1000,0)</f>
        <v>0.04</v>
      </c>
      <c r="AC64" s="54" t="n">
        <f aca="false">IF(AC59&gt;0,Исходные!$C$39/1000,0)</f>
        <v>0.04</v>
      </c>
      <c r="AD64" s="54" t="n">
        <f aca="false">IF(AD59&gt;0,Исходные!$C$39/1000,0)</f>
        <v>0.04</v>
      </c>
      <c r="AE64" s="54" t="n">
        <f aca="false">IF(AE59&gt;0,Исходные!$C$39/1000,0)</f>
        <v>0.04</v>
      </c>
      <c r="AF64" s="54" t="n">
        <f aca="false">IF(AF59&gt;0,Исходные!$C$39/1000,0)</f>
        <v>0.04</v>
      </c>
      <c r="AG64" s="54" t="n">
        <f aca="false">IF(AG59&gt;0,Исходные!$C$39/1000,0)</f>
        <v>0.04</v>
      </c>
      <c r="AH64" s="54" t="n">
        <f aca="false">IF(AH59&gt;0,Исходные!$C$39/1000,0)</f>
        <v>0.04</v>
      </c>
      <c r="AI64" s="54" t="n">
        <f aca="false">IF(AI59&gt;0,Исходные!$C$39/1000,0)</f>
        <v>0.04</v>
      </c>
      <c r="AJ64" s="54" t="n">
        <f aca="false">IF(AJ59&gt;0,Исходные!$C$39/1000,0)</f>
        <v>0.04</v>
      </c>
      <c r="AK64" s="54" t="n">
        <f aca="false">IF(AK59&gt;0,Исходные!$C$39/1000,0)</f>
        <v>0.04</v>
      </c>
      <c r="AL64" s="54" t="n">
        <f aca="false">IF(AL59&gt;0,Исходные!$C$39/1000,0)</f>
        <v>0.04</v>
      </c>
      <c r="AM64" s="54" t="n">
        <f aca="false">IF(AM59&gt;0,Исходные!$C$39/1000,0)</f>
        <v>0.04</v>
      </c>
      <c r="AN64" s="54" t="n">
        <f aca="false">IF(AN59&gt;0,Исходные!$C$39/1000,0)</f>
        <v>0.04</v>
      </c>
      <c r="AO64" s="54" t="n">
        <f aca="false">IF(AO59&gt;0,Исходные!$C$39/1000,0)</f>
        <v>0.04</v>
      </c>
      <c r="AP64" s="54" t="n">
        <f aca="false">IF(AP59&gt;0,Исходные!$C$39/1000,0)</f>
        <v>0.04</v>
      </c>
      <c r="AQ64" s="54" t="n">
        <f aca="false">IF(AQ59&gt;0,Исходные!$C$39/1000,0)</f>
        <v>0.04</v>
      </c>
      <c r="AR64" s="54" t="n">
        <f aca="false">IF(AR59&gt;0,Исходные!$C$39/1000,0)</f>
        <v>0.04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1.02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0.03</v>
      </c>
      <c r="L65" s="54" t="n">
        <f aca="false">IF(L59&gt;0,Исходные!$C$40/1000,0)</f>
        <v>0.03</v>
      </c>
      <c r="M65" s="54" t="n">
        <f aca="false">IF(M59&gt;0,Исходные!$C$40/1000,0)</f>
        <v>0.03</v>
      </c>
      <c r="N65" s="54" t="n">
        <f aca="false">IF(N59&gt;0,Исходные!$C$40/1000,0)</f>
        <v>0.03</v>
      </c>
      <c r="O65" s="54" t="n">
        <f aca="false">IF(O59&gt;0,Исходные!$C$40/1000,0)</f>
        <v>0.03</v>
      </c>
      <c r="P65" s="54" t="n">
        <f aca="false">IF(P59&gt;0,Исходные!$C$40/1000,0)</f>
        <v>0.03</v>
      </c>
      <c r="Q65" s="54" t="n">
        <f aca="false">IF(Q59&gt;0,Исходные!$C$40/1000,0)</f>
        <v>0.03</v>
      </c>
      <c r="R65" s="54" t="n">
        <f aca="false">IF(R59&gt;0,Исходные!$C$40/1000,0)</f>
        <v>0.03</v>
      </c>
      <c r="S65" s="54" t="n">
        <f aca="false">IF(S59&gt;0,Исходные!$C$40/1000,0)</f>
        <v>0.03</v>
      </c>
      <c r="T65" s="54" t="n">
        <f aca="false">IF(T59&gt;0,Исходные!$C$40/1000,0)</f>
        <v>0.03</v>
      </c>
      <c r="U65" s="54" t="n">
        <f aca="false">IF(U59&gt;0,Исходные!$C$40/1000,0)</f>
        <v>0.03</v>
      </c>
      <c r="V65" s="54" t="n">
        <f aca="false">IF(V59&gt;0,Исходные!$C$40/1000,0)</f>
        <v>0.03</v>
      </c>
      <c r="W65" s="54" t="n">
        <f aca="false">IF(W59&gt;0,Исходные!$C$40/1000,0)</f>
        <v>0.03</v>
      </c>
      <c r="X65" s="54" t="n">
        <f aca="false">IF(X59&gt;0,Исходные!$C$40/1000,0)</f>
        <v>0.03</v>
      </c>
      <c r="Y65" s="54" t="n">
        <f aca="false">IF(Y59&gt;0,Исходные!$C$40/1000,0)</f>
        <v>0.03</v>
      </c>
      <c r="Z65" s="54" t="n">
        <f aca="false">IF(Z59&gt;0,Исходные!$C$40/1000,0)</f>
        <v>0.03</v>
      </c>
      <c r="AA65" s="54" t="n">
        <f aca="false">IF(AA59&gt;0,Исходные!$C$40/1000,0)</f>
        <v>0.03</v>
      </c>
      <c r="AB65" s="54" t="n">
        <f aca="false">IF(AB59&gt;0,Исходные!$C$40/1000,0)</f>
        <v>0.03</v>
      </c>
      <c r="AC65" s="54" t="n">
        <f aca="false">IF(AC59&gt;0,Исходные!$C$40/1000,0)</f>
        <v>0.03</v>
      </c>
      <c r="AD65" s="54" t="n">
        <f aca="false">IF(AD59&gt;0,Исходные!$C$40/1000,0)</f>
        <v>0.03</v>
      </c>
      <c r="AE65" s="54" t="n">
        <f aca="false">IF(AE59&gt;0,Исходные!$C$40/1000,0)</f>
        <v>0.03</v>
      </c>
      <c r="AF65" s="54" t="n">
        <f aca="false">IF(AF59&gt;0,Исходные!$C$40/1000,0)</f>
        <v>0.03</v>
      </c>
      <c r="AG65" s="54" t="n">
        <f aca="false">IF(AG59&gt;0,Исходные!$C$40/1000,0)</f>
        <v>0.03</v>
      </c>
      <c r="AH65" s="54" t="n">
        <f aca="false">IF(AH59&gt;0,Исходные!$C$40/1000,0)</f>
        <v>0.03</v>
      </c>
      <c r="AI65" s="54" t="n">
        <f aca="false">IF(AI59&gt;0,Исходные!$C$40/1000,0)</f>
        <v>0.03</v>
      </c>
      <c r="AJ65" s="54" t="n">
        <f aca="false">IF(AJ59&gt;0,Исходные!$C$40/1000,0)</f>
        <v>0.03</v>
      </c>
      <c r="AK65" s="54" t="n">
        <f aca="false">IF(AK59&gt;0,Исходные!$C$40/1000,0)</f>
        <v>0.03</v>
      </c>
      <c r="AL65" s="54" t="n">
        <f aca="false">IF(AL59&gt;0,Исходные!$C$40/1000,0)</f>
        <v>0.03</v>
      </c>
      <c r="AM65" s="54" t="n">
        <f aca="false">IF(AM59&gt;0,Исходные!$C$40/1000,0)</f>
        <v>0.03</v>
      </c>
      <c r="AN65" s="54" t="n">
        <f aca="false">IF(AN59&gt;0,Исходные!$C$40/1000,0)</f>
        <v>0.03</v>
      </c>
      <c r="AO65" s="54" t="n">
        <f aca="false">IF(AO59&gt;0,Исходные!$C$40/1000,0)</f>
        <v>0.03</v>
      </c>
      <c r="AP65" s="54" t="n">
        <f aca="false">IF(AP59&gt;0,Исходные!$C$40/1000,0)</f>
        <v>0.03</v>
      </c>
      <c r="AQ65" s="54" t="n">
        <f aca="false">IF(AQ59&gt;0,Исходные!$C$40/1000,0)</f>
        <v>0.03</v>
      </c>
      <c r="AR65" s="54" t="n">
        <f aca="false">IF(AR59&gt;0,Исходные!$C$40/1000,0)</f>
        <v>0.03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0.221092896174863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0.00650273224043716</v>
      </c>
      <c r="L66" s="54" t="n">
        <f aca="false">IF(L59&gt;0,$D$43-L64-L65,0)</f>
        <v>0.00650273224043716</v>
      </c>
      <c r="M66" s="54" t="n">
        <f aca="false">IF(M59&gt;0,$D$43-M64-M65,0)</f>
        <v>0.00650273224043716</v>
      </c>
      <c r="N66" s="54" t="n">
        <f aca="false">IF(N59&gt;0,$D$43-N64-N65,0)</f>
        <v>0.00650273224043716</v>
      </c>
      <c r="O66" s="54" t="n">
        <f aca="false">IF(O59&gt;0,$D$43-O64-O65,0)</f>
        <v>0.00650273224043716</v>
      </c>
      <c r="P66" s="54" t="n">
        <f aca="false">IF(P59&gt;0,$D$43-P64-P65,0)</f>
        <v>0.00650273224043716</v>
      </c>
      <c r="Q66" s="54" t="n">
        <f aca="false">IF(Q59&gt;0,$D$43-Q64-Q65,0)</f>
        <v>0.00650273224043716</v>
      </c>
      <c r="R66" s="54" t="n">
        <f aca="false">IF(R59&gt;0,$D$43-R64-R65,0)</f>
        <v>0.00650273224043716</v>
      </c>
      <c r="S66" s="54" t="n">
        <f aca="false">IF(S59&gt;0,$D$43-S64-S65,0)</f>
        <v>0.00650273224043716</v>
      </c>
      <c r="T66" s="54" t="n">
        <f aca="false">IF(T59&gt;0,$D$43-T64-T65,0)</f>
        <v>0.00650273224043716</v>
      </c>
      <c r="U66" s="54" t="n">
        <f aca="false">IF(U59&gt;0,$D$43-U64-U65,0)</f>
        <v>0.00650273224043716</v>
      </c>
      <c r="V66" s="54" t="n">
        <f aca="false">IF(V59&gt;0,$D$43-V64-V65,0)</f>
        <v>0.00650273224043716</v>
      </c>
      <c r="W66" s="54" t="n">
        <f aca="false">IF(W59&gt;0,$D$43-W64-W65,0)</f>
        <v>0.00650273224043716</v>
      </c>
      <c r="X66" s="54" t="n">
        <f aca="false">IF(X59&gt;0,$D$43-X64-X65,0)</f>
        <v>0.00650273224043716</v>
      </c>
      <c r="Y66" s="54" t="n">
        <f aca="false">IF(Y59&gt;0,$D$43-Y64-Y65,0)</f>
        <v>0.00650273224043716</v>
      </c>
      <c r="Z66" s="54" t="n">
        <f aca="false">IF(Z59&gt;0,$D$43-Z64-Z65,0)</f>
        <v>0.00650273224043716</v>
      </c>
      <c r="AA66" s="54" t="n">
        <f aca="false">IF(AA59&gt;0,$D$43-AA64-AA65,0)</f>
        <v>0.00650273224043716</v>
      </c>
      <c r="AB66" s="54" t="n">
        <f aca="false">IF(AB59&gt;0,$D$43-AB64-AB65,0)</f>
        <v>0.00650273224043716</v>
      </c>
      <c r="AC66" s="54" t="n">
        <f aca="false">IF(AC59&gt;0,$D$43-AC64-AC65,0)</f>
        <v>0.00650273224043716</v>
      </c>
      <c r="AD66" s="54" t="n">
        <f aca="false">IF(AD59&gt;0,$D$43-AD64-AD65,0)</f>
        <v>0.00650273224043716</v>
      </c>
      <c r="AE66" s="54" t="n">
        <f aca="false">IF(AE59&gt;0,$D$43-AE64-AE65,0)</f>
        <v>0.00650273224043716</v>
      </c>
      <c r="AF66" s="54" t="n">
        <f aca="false">IF(AF59&gt;0,$D$43-AF64-AF65,0)</f>
        <v>0.00650273224043716</v>
      </c>
      <c r="AG66" s="54" t="n">
        <f aca="false">IF(AG59&gt;0,$D$43-AG64-AG65,0)</f>
        <v>0.00650273224043716</v>
      </c>
      <c r="AH66" s="54" t="n">
        <f aca="false">IF(AH59&gt;0,$D$43-AH64-AH65,0)</f>
        <v>0.00650273224043716</v>
      </c>
      <c r="AI66" s="54" t="n">
        <f aca="false">IF(AI59&gt;0,$D$43-AI64-AI65,0)</f>
        <v>0.00650273224043716</v>
      </c>
      <c r="AJ66" s="54" t="n">
        <f aca="false">IF(AJ59&gt;0,$D$43-AJ64-AJ65,0)</f>
        <v>0.00650273224043716</v>
      </c>
      <c r="AK66" s="54" t="n">
        <f aca="false">IF(AK59&gt;0,$D$43-AK64-AK65,0)</f>
        <v>0.00650273224043716</v>
      </c>
      <c r="AL66" s="54" t="n">
        <f aca="false">IF(AL59&gt;0,$D$43-AL64-AL65,0)</f>
        <v>0.00650273224043716</v>
      </c>
      <c r="AM66" s="54" t="n">
        <f aca="false">IF(AM59&gt;0,$D$43-AM64-AM65,0)</f>
        <v>0.00650273224043716</v>
      </c>
      <c r="AN66" s="54" t="n">
        <f aca="false">IF(AN59&gt;0,$D$43-AN64-AN65,0)</f>
        <v>0.00650273224043716</v>
      </c>
      <c r="AO66" s="54" t="n">
        <f aca="false">IF(AO59&gt;0,$D$43-AO64-AO65,0)</f>
        <v>0.00650273224043716</v>
      </c>
      <c r="AP66" s="54" t="n">
        <f aca="false">IF(AP59&gt;0,$D$43-AP64-AP65,0)</f>
        <v>0.00650273224043716</v>
      </c>
      <c r="AQ66" s="54" t="n">
        <f aca="false">IF(AQ59&gt;0,$D$43-AQ64-AQ65,0)</f>
        <v>0.00650273224043716</v>
      </c>
      <c r="AR66" s="54" t="n">
        <f aca="false">IF(AR59&gt;0,$D$43-AR64-AR65,0)</f>
        <v>0.00650273224043716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1337.96209485499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21.5930689849021</v>
      </c>
      <c r="J68" s="15" t="n">
        <f aca="false">J60*$D$39/1000</f>
        <v>43.1861379698041</v>
      </c>
      <c r="K68" s="15" t="n">
        <f aca="false">K60*$D$39/1000</f>
        <v>59.4900550378332</v>
      </c>
      <c r="L68" s="15" t="n">
        <f aca="false">L60*$D$39/1000</f>
        <v>59.4900550378332</v>
      </c>
      <c r="M68" s="15" t="n">
        <f aca="false">M60*$D$39/1000</f>
        <v>59.4900550378332</v>
      </c>
      <c r="N68" s="15" t="n">
        <f aca="false">N60*$D$39/1000</f>
        <v>59.4900550378332</v>
      </c>
      <c r="O68" s="15" t="n">
        <f aca="false">O60*$D$39/1000</f>
        <v>59.4900550378332</v>
      </c>
      <c r="P68" s="15" t="n">
        <f aca="false">P60*$D$39/1000</f>
        <v>58.5646377956231</v>
      </c>
      <c r="Q68" s="15" t="n">
        <f aca="false">Q60*$D$39/1000</f>
        <v>58.5646377956231</v>
      </c>
      <c r="R68" s="15" t="n">
        <f aca="false">R60*$D$39/1000</f>
        <v>58.5646377956231</v>
      </c>
      <c r="S68" s="15" t="n">
        <f aca="false">S60*$D$39/1000</f>
        <v>58.5646377956231</v>
      </c>
      <c r="T68" s="15" t="n">
        <f aca="false">T60*$D$39/1000</f>
        <v>58.5646377956231</v>
      </c>
      <c r="U68" s="15" t="n">
        <f aca="false">U60*$D$39/1000</f>
        <v>58.5646377956231</v>
      </c>
      <c r="V68" s="15" t="n">
        <f aca="false">V60*$D$39/1000</f>
        <v>54.4425231923337</v>
      </c>
      <c r="W68" s="15" t="n">
        <f aca="false">W60*$D$39/1000</f>
        <v>50.605816812693</v>
      </c>
      <c r="X68" s="15" t="n">
        <f aca="false">X60*$D$39/1000</f>
        <v>47.0347574753738</v>
      </c>
      <c r="Y68" s="15" t="n">
        <f aca="false">Y60*$D$39/1000</f>
        <v>43.7109522297274</v>
      </c>
      <c r="Z68" s="15" t="n">
        <f aca="false">Z60*$D$39/1000</f>
        <v>40.6172816218121</v>
      </c>
      <c r="AA68" s="15" t="n">
        <f aca="false">AA60*$D$39/1000</f>
        <v>37.7378115196406</v>
      </c>
      <c r="AB68" s="15" t="n">
        <f aca="false">AB60*$D$39/1000</f>
        <v>35.057711043499</v>
      </c>
      <c r="AC68" s="15" t="n">
        <f aca="false">AC60*$D$39/1000</f>
        <v>32.56317617863</v>
      </c>
      <c r="AD68" s="15" t="n">
        <f aca="false">AD60*$D$39/1000</f>
        <v>30.2413586768454</v>
      </c>
      <c r="AE68" s="15" t="n">
        <f aca="false">AE60*$D$39/1000</f>
        <v>28.0802998808696</v>
      </c>
      <c r="AF68" s="15" t="n">
        <f aca="false">AF60*$D$39/1000</f>
        <v>26.0688691305738</v>
      </c>
      <c r="AG68" s="15" t="n">
        <f aca="false">AG60*$D$39/1000</f>
        <v>24.1967064338581</v>
      </c>
      <c r="AH68" s="15" t="n">
        <f aca="false">AH60*$D$39/1000</f>
        <v>22.454169106904</v>
      </c>
      <c r="AI68" s="15" t="n">
        <f aca="false">AI60*$D$39/1000</f>
        <v>20.8322821089655</v>
      </c>
      <c r="AJ68" s="15" t="n">
        <f aca="false">AJ60*$D$39/1000</f>
        <v>19.3226918158956</v>
      </c>
      <c r="AK68" s="15" t="n">
        <f aca="false">AK60*$D$39/1000</f>
        <v>17.9176229943148</v>
      </c>
      <c r="AL68" s="15" t="n">
        <f aca="false">AL60*$D$39/1000</f>
        <v>16.6098387548151</v>
      </c>
      <c r="AM68" s="15" t="n">
        <f aca="false">AM60*$D$39/1000</f>
        <v>15.3926032779367</v>
      </c>
      <c r="AN68" s="15" t="n">
        <f aca="false">AN60*$D$39/1000</f>
        <v>14.2596471209347</v>
      </c>
      <c r="AO68" s="15" t="n">
        <f aca="false">AO60*$D$39/1000</f>
        <v>13.2051349266463</v>
      </c>
      <c r="AP68" s="15" t="n">
        <f aca="false">AP60*$D$39/1000</f>
        <v>12.2236353681413</v>
      </c>
      <c r="AQ68" s="15" t="n">
        <f aca="false">AQ60*$D$39/1000</f>
        <v>11.3100931743543</v>
      </c>
      <c r="AR68" s="15" t="n">
        <f aca="false">AR60*$D$39/1000</f>
        <v>10.459803092614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420.23321041619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6.48865493513433</v>
      </c>
      <c r="J69" s="15" t="n">
        <f aca="false">(J61+J66)*$D$40/1000</f>
        <v>12.9773098702687</v>
      </c>
      <c r="K69" s="15" t="n">
        <f aca="false">(K61+K66)*$D$40/1000</f>
        <v>18.4112799385947</v>
      </c>
      <c r="L69" s="15" t="n">
        <f aca="false">(L61+L66)*$D$40/1000</f>
        <v>18.4112799385947</v>
      </c>
      <c r="M69" s="15" t="n">
        <f aca="false">(M61+M66)*$D$40/1000</f>
        <v>18.4112799385947</v>
      </c>
      <c r="N69" s="15" t="n">
        <f aca="false">(N61+N66)*$D$40/1000</f>
        <v>18.4112799385947</v>
      </c>
      <c r="O69" s="15" t="n">
        <f aca="false">(O61+O66)*$D$40/1000</f>
        <v>18.4112799385947</v>
      </c>
      <c r="P69" s="15" t="n">
        <f aca="false">(P61+P66)*$D$40/1000</f>
        <v>18.1331947270889</v>
      </c>
      <c r="Q69" s="15" t="n">
        <f aca="false">(Q61+Q66)*$D$40/1000</f>
        <v>18.1331947270889</v>
      </c>
      <c r="R69" s="15" t="n">
        <f aca="false">(R61+R66)*$D$40/1000</f>
        <v>18.1331947270889</v>
      </c>
      <c r="S69" s="15" t="n">
        <f aca="false">(S61+S66)*$D$40/1000</f>
        <v>18.1331947270889</v>
      </c>
      <c r="T69" s="15" t="n">
        <f aca="false">(T61+T66)*$D$40/1000</f>
        <v>18.1331947270889</v>
      </c>
      <c r="U69" s="15" t="n">
        <f aca="false">(U61+U66)*$D$40/1000</f>
        <v>18.1331947270889</v>
      </c>
      <c r="V69" s="15" t="n">
        <f aca="false">(V61+V66)*$D$40/1000</f>
        <v>16.8945111808768</v>
      </c>
      <c r="W69" s="15" t="n">
        <f aca="false">(W61+W66)*$D$40/1000</f>
        <v>15.7415919824838</v>
      </c>
      <c r="X69" s="15" t="n">
        <f aca="false">(X61+X66)*$D$40/1000</f>
        <v>14.6684989539312</v>
      </c>
      <c r="Y69" s="15" t="n">
        <f aca="false">(Y61+Y66)*$D$40/1000</f>
        <v>13.6697050666117</v>
      </c>
      <c r="Z69" s="15" t="n">
        <f aca="false">(Z61+Z66)*$D$40/1000</f>
        <v>12.7400659740045</v>
      </c>
      <c r="AA69" s="15" t="n">
        <f aca="false">(AA61+AA66)*$D$40/1000</f>
        <v>11.8747935154165</v>
      </c>
      <c r="AB69" s="15" t="n">
        <f aca="false">(AB61+AB66)*$D$40/1000</f>
        <v>11.0694310542799</v>
      </c>
      <c r="AC69" s="15" t="n">
        <f aca="false">(AC61+AC66)*$D$40/1000</f>
        <v>10.3198305239841</v>
      </c>
      <c r="AD69" s="15" t="n">
        <f aca="false">(AD61+AD66)*$D$40/1000</f>
        <v>9.62213106301491</v>
      </c>
      <c r="AE69" s="15" t="n">
        <f aca="false">(AE61+AE66)*$D$40/1000</f>
        <v>8.97273912936118</v>
      </c>
      <c r="AF69" s="15" t="n">
        <f aca="false">(AF61+AF66)*$D$40/1000</f>
        <v>8.36830999176554</v>
      </c>
      <c r="AG69" s="15" t="n">
        <f aca="false">(AG61+AG66)*$D$40/1000</f>
        <v>7.80573050248996</v>
      </c>
      <c r="AH69" s="15" t="n">
        <f aca="false">(AH61+AH66)*$D$40/1000</f>
        <v>7.28210306286557</v>
      </c>
      <c r="AI69" s="15" t="n">
        <f aca="false">(AI61+AI66)*$D$40/1000</f>
        <v>6.79473069904077</v>
      </c>
      <c r="AJ69" s="15" t="n">
        <f aca="false">(AJ61+AJ66)*$D$40/1000</f>
        <v>6.34110317105911</v>
      </c>
      <c r="AK69" s="15" t="n">
        <f aca="false">(AK61+AK66)*$D$40/1000</f>
        <v>5.91888404372115</v>
      </c>
      <c r="AL69" s="15" t="n">
        <f aca="false">(AL61+AL66)*$D$40/1000</f>
        <v>5.52589865263783</v>
      </c>
      <c r="AM69" s="15" t="n">
        <f aca="false">(AM61+AM66)*$D$40/1000</f>
        <v>5.16012290349397</v>
      </c>
      <c r="AN69" s="15" t="n">
        <f aca="false">(AN61+AN66)*$D$40/1000</f>
        <v>4.81967284683172</v>
      </c>
      <c r="AO69" s="15" t="n">
        <f aca="false">(AO61+AO66)*$D$40/1000</f>
        <v>4.50279497465834</v>
      </c>
      <c r="AP69" s="15" t="n">
        <f aca="false">(AP61+AP66)*$D$40/1000</f>
        <v>4.20785718890041</v>
      </c>
      <c r="AQ69" s="15" t="n">
        <f aca="false">(AQ61+AQ66)*$D$40/1000</f>
        <v>3.93334039518691</v>
      </c>
      <c r="AR69" s="15" t="n">
        <f aca="false">(AR61+AR66)*$D$40/1000</f>
        <v>3.67783067866456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76.296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2.244</v>
      </c>
      <c r="L71" s="15" t="n">
        <f aca="false">L64*$D$23/1000</f>
        <v>2.244</v>
      </c>
      <c r="M71" s="15" t="n">
        <f aca="false">M64*$D$23/1000</f>
        <v>2.244</v>
      </c>
      <c r="N71" s="15" t="n">
        <f aca="false">N64*$D$23/1000</f>
        <v>2.244</v>
      </c>
      <c r="O71" s="15" t="n">
        <f aca="false">O64*$D$23/1000</f>
        <v>2.244</v>
      </c>
      <c r="P71" s="15" t="n">
        <f aca="false">P64*$D$23/1000</f>
        <v>2.244</v>
      </c>
      <c r="Q71" s="15" t="n">
        <f aca="false">Q64*$D$23/1000</f>
        <v>2.244</v>
      </c>
      <c r="R71" s="15" t="n">
        <f aca="false">R64*$D$23/1000</f>
        <v>2.244</v>
      </c>
      <c r="S71" s="15" t="n">
        <f aca="false">S64*$D$23/1000</f>
        <v>2.244</v>
      </c>
      <c r="T71" s="15" t="n">
        <f aca="false">T64*$D$23/1000</f>
        <v>2.244</v>
      </c>
      <c r="U71" s="15" t="n">
        <f aca="false">U64*$D$23/1000</f>
        <v>2.244</v>
      </c>
      <c r="V71" s="15" t="n">
        <f aca="false">V64*$D$23/1000</f>
        <v>2.244</v>
      </c>
      <c r="W71" s="15" t="n">
        <f aca="false">W64*$D$23/1000</f>
        <v>2.244</v>
      </c>
      <c r="X71" s="15" t="n">
        <f aca="false">X64*$D$23/1000</f>
        <v>2.244</v>
      </c>
      <c r="Y71" s="15" t="n">
        <f aca="false">Y64*$D$23/1000</f>
        <v>2.244</v>
      </c>
      <c r="Z71" s="15" t="n">
        <f aca="false">Z64*$D$23/1000</f>
        <v>2.244</v>
      </c>
      <c r="AA71" s="15" t="n">
        <f aca="false">AA64*$D$23/1000</f>
        <v>2.244</v>
      </c>
      <c r="AB71" s="15" t="n">
        <f aca="false">AB64*$D$23/1000</f>
        <v>2.244</v>
      </c>
      <c r="AC71" s="15" t="n">
        <f aca="false">AC64*$D$23/1000</f>
        <v>2.244</v>
      </c>
      <c r="AD71" s="15" t="n">
        <f aca="false">AD64*$D$23/1000</f>
        <v>2.244</v>
      </c>
      <c r="AE71" s="15" t="n">
        <f aca="false">AE64*$D$23/1000</f>
        <v>2.244</v>
      </c>
      <c r="AF71" s="15" t="n">
        <f aca="false">AF64*$D$23/1000</f>
        <v>2.244</v>
      </c>
      <c r="AG71" s="15" t="n">
        <f aca="false">AG64*$D$23/1000</f>
        <v>2.244</v>
      </c>
      <c r="AH71" s="15" t="n">
        <f aca="false">AH64*$D$23/1000</f>
        <v>2.244</v>
      </c>
      <c r="AI71" s="15" t="n">
        <f aca="false">AI64*$D$23/1000</f>
        <v>2.244</v>
      </c>
      <c r="AJ71" s="15" t="n">
        <f aca="false">AJ64*$D$23/1000</f>
        <v>2.244</v>
      </c>
      <c r="AK71" s="15" t="n">
        <f aca="false">AK64*$D$23/1000</f>
        <v>2.244</v>
      </c>
      <c r="AL71" s="15" t="n">
        <f aca="false">AL64*$D$23/1000</f>
        <v>2.244</v>
      </c>
      <c r="AM71" s="15" t="n">
        <f aca="false">AM64*$D$23/1000</f>
        <v>2.244</v>
      </c>
      <c r="AN71" s="15" t="n">
        <f aca="false">AN64*$D$23/1000</f>
        <v>2.244</v>
      </c>
      <c r="AO71" s="15" t="n">
        <f aca="false">AO64*$D$23/1000</f>
        <v>2.244</v>
      </c>
      <c r="AP71" s="15" t="n">
        <f aca="false">AP64*$D$23/1000</f>
        <v>2.244</v>
      </c>
      <c r="AQ71" s="15" t="n">
        <f aca="false">AQ64*$D$23/1000</f>
        <v>2.244</v>
      </c>
      <c r="AR71" s="15" t="n">
        <f aca="false">AR64*$D$23/1000</f>
        <v>2.244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65.79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1.935</v>
      </c>
      <c r="L72" s="15" t="n">
        <f aca="false">L65*$D$24/1000</f>
        <v>1.935</v>
      </c>
      <c r="M72" s="15" t="n">
        <f aca="false">M65*$D$24/1000</f>
        <v>1.935</v>
      </c>
      <c r="N72" s="15" t="n">
        <f aca="false">N65*$D$24/1000</f>
        <v>1.935</v>
      </c>
      <c r="O72" s="15" t="n">
        <f aca="false">O65*$D$24/1000</f>
        <v>1.935</v>
      </c>
      <c r="P72" s="15" t="n">
        <f aca="false">P65*$D$24/1000</f>
        <v>1.935</v>
      </c>
      <c r="Q72" s="15" t="n">
        <f aca="false">Q65*$D$24/1000</f>
        <v>1.935</v>
      </c>
      <c r="R72" s="15" t="n">
        <f aca="false">R65*$D$24/1000</f>
        <v>1.935</v>
      </c>
      <c r="S72" s="15" t="n">
        <f aca="false">S65*$D$24/1000</f>
        <v>1.935</v>
      </c>
      <c r="T72" s="15" t="n">
        <f aca="false">T65*$D$24/1000</f>
        <v>1.935</v>
      </c>
      <c r="U72" s="15" t="n">
        <f aca="false">U65*$D$24/1000</f>
        <v>1.935</v>
      </c>
      <c r="V72" s="15" t="n">
        <f aca="false">V65*$D$24/1000</f>
        <v>1.935</v>
      </c>
      <c r="W72" s="15" t="n">
        <f aca="false">W65*$D$24/1000</f>
        <v>1.935</v>
      </c>
      <c r="X72" s="15" t="n">
        <f aca="false">X65*$D$24/1000</f>
        <v>1.935</v>
      </c>
      <c r="Y72" s="15" t="n">
        <f aca="false">Y65*$D$24/1000</f>
        <v>1.935</v>
      </c>
      <c r="Z72" s="15" t="n">
        <f aca="false">Z65*$D$24/1000</f>
        <v>1.935</v>
      </c>
      <c r="AA72" s="15" t="n">
        <f aca="false">AA65*$D$24/1000</f>
        <v>1.935</v>
      </c>
      <c r="AB72" s="15" t="n">
        <f aca="false">AB65*$D$24/1000</f>
        <v>1.935</v>
      </c>
      <c r="AC72" s="15" t="n">
        <f aca="false">AC65*$D$24/1000</f>
        <v>1.935</v>
      </c>
      <c r="AD72" s="15" t="n">
        <f aca="false">AD65*$D$24/1000</f>
        <v>1.935</v>
      </c>
      <c r="AE72" s="15" t="n">
        <f aca="false">AE65*$D$24/1000</f>
        <v>1.935</v>
      </c>
      <c r="AF72" s="15" t="n">
        <f aca="false">AF65*$D$24/1000</f>
        <v>1.935</v>
      </c>
      <c r="AG72" s="15" t="n">
        <f aca="false">AG65*$D$24/1000</f>
        <v>1.935</v>
      </c>
      <c r="AH72" s="15" t="n">
        <f aca="false">AH65*$D$24/1000</f>
        <v>1.935</v>
      </c>
      <c r="AI72" s="15" t="n">
        <f aca="false">AI65*$D$24/1000</f>
        <v>1.935</v>
      </c>
      <c r="AJ72" s="15" t="n">
        <f aca="false">AJ65*$D$24/1000</f>
        <v>1.935</v>
      </c>
      <c r="AK72" s="15" t="n">
        <f aca="false">AK65*$D$24/1000</f>
        <v>1.935</v>
      </c>
      <c r="AL72" s="15" t="n">
        <f aca="false">AL65*$D$24/1000</f>
        <v>1.935</v>
      </c>
      <c r="AM72" s="15" t="n">
        <f aca="false">AM65*$D$24/1000</f>
        <v>1.935</v>
      </c>
      <c r="AN72" s="15" t="n">
        <f aca="false">AN65*$D$24/1000</f>
        <v>1.935</v>
      </c>
      <c r="AO72" s="15" t="n">
        <f aca="false">AO65*$D$24/1000</f>
        <v>1.935</v>
      </c>
      <c r="AP72" s="15" t="n">
        <f aca="false">AP65*$D$24/1000</f>
        <v>1.935</v>
      </c>
      <c r="AQ72" s="15" t="n">
        <f aca="false">AQ65*$D$24/1000</f>
        <v>1.935</v>
      </c>
      <c r="AR72" s="15" t="n">
        <f aca="false">AR65*$D$24/1000</f>
        <v>1.935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1900.28130527118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28.0817239200364</v>
      </c>
      <c r="J73" s="15" t="n">
        <f aca="false">SUM(J68:J72)</f>
        <v>56.1634478400728</v>
      </c>
      <c r="K73" s="15" t="n">
        <f aca="false">SUM(K68:K72)</f>
        <v>82.0803349764279</v>
      </c>
      <c r="L73" s="15" t="n">
        <f aca="false">SUM(L68:L72)</f>
        <v>82.0803349764279</v>
      </c>
      <c r="M73" s="15" t="n">
        <f aca="false">SUM(M68:M72)</f>
        <v>82.0803349764279</v>
      </c>
      <c r="N73" s="15" t="n">
        <f aca="false">SUM(N68:N72)</f>
        <v>82.0803349764279</v>
      </c>
      <c r="O73" s="15" t="n">
        <f aca="false">SUM(O68:O72)</f>
        <v>82.0803349764279</v>
      </c>
      <c r="P73" s="15" t="n">
        <f aca="false">SUM(P68:P72)</f>
        <v>80.876832522712</v>
      </c>
      <c r="Q73" s="15" t="n">
        <f aca="false">SUM(Q68:Q72)</f>
        <v>80.876832522712</v>
      </c>
      <c r="R73" s="15" t="n">
        <f aca="false">SUM(R68:R72)</f>
        <v>80.876832522712</v>
      </c>
      <c r="S73" s="15" t="n">
        <f aca="false">SUM(S68:S72)</f>
        <v>80.876832522712</v>
      </c>
      <c r="T73" s="15" t="n">
        <f aca="false">SUM(T68:T72)</f>
        <v>80.876832522712</v>
      </c>
      <c r="U73" s="15" t="n">
        <f aca="false">SUM(U68:U72)</f>
        <v>80.876832522712</v>
      </c>
      <c r="V73" s="15" t="n">
        <f aca="false">SUM(V68:V72)</f>
        <v>75.5160343732105</v>
      </c>
      <c r="W73" s="15" t="n">
        <f aca="false">SUM(W68:W72)</f>
        <v>70.5264087951768</v>
      </c>
      <c r="X73" s="15" t="n">
        <f aca="false">SUM(X68:X72)</f>
        <v>65.882256429305</v>
      </c>
      <c r="Y73" s="15" t="n">
        <f aca="false">SUM(Y68:Y72)</f>
        <v>61.5596572963391</v>
      </c>
      <c r="Z73" s="15" t="n">
        <f aca="false">SUM(Z68:Z72)</f>
        <v>57.5363475958166</v>
      </c>
      <c r="AA73" s="15" t="n">
        <f aca="false">SUM(AA68:AA72)</f>
        <v>53.7916050350571</v>
      </c>
      <c r="AB73" s="15" t="n">
        <f aca="false">SUM(AB68:AB72)</f>
        <v>50.3061420977789</v>
      </c>
      <c r="AC73" s="15" t="n">
        <f aca="false">SUM(AC68:AC72)</f>
        <v>47.0620067026141</v>
      </c>
      <c r="AD73" s="15" t="n">
        <f aca="false">SUM(AD68:AD72)</f>
        <v>44.0424897398603</v>
      </c>
      <c r="AE73" s="15" t="n">
        <f aca="false">SUM(AE68:AE72)</f>
        <v>41.2320390102307</v>
      </c>
      <c r="AF73" s="15" t="n">
        <f aca="false">SUM(AF68:AF72)</f>
        <v>38.6161791223394</v>
      </c>
      <c r="AG73" s="15" t="n">
        <f aca="false">SUM(AG68:AG72)</f>
        <v>36.1814369363481</v>
      </c>
      <c r="AH73" s="15" t="n">
        <f aca="false">SUM(AH68:AH72)</f>
        <v>33.9152721697695</v>
      </c>
      <c r="AI73" s="15" t="n">
        <f aca="false">SUM(AI68:AI72)</f>
        <v>31.8060128080062</v>
      </c>
      <c r="AJ73" s="15" t="n">
        <f aca="false">SUM(AJ68:AJ72)</f>
        <v>29.8427949869547</v>
      </c>
      <c r="AK73" s="15" t="n">
        <f aca="false">SUM(AK68:AK72)</f>
        <v>28.015507038036</v>
      </c>
      <c r="AL73" s="15" t="n">
        <f aca="false">SUM(AL68:AL72)</f>
        <v>26.3147374074529</v>
      </c>
      <c r="AM73" s="15" t="n">
        <f aca="false">SUM(AM68:AM72)</f>
        <v>24.7317261814306</v>
      </c>
      <c r="AN73" s="15" t="n">
        <f aca="false">SUM(AN68:AN72)</f>
        <v>23.2583199677664</v>
      </c>
      <c r="AO73" s="15" t="n">
        <f aca="false">SUM(AO68:AO72)</f>
        <v>21.8869299013046</v>
      </c>
      <c r="AP73" s="15" t="n">
        <f aca="false">SUM(AP68:AP72)</f>
        <v>20.6104925570417</v>
      </c>
      <c r="AQ73" s="15" t="n">
        <f aca="false">SUM(AQ68:AQ72)</f>
        <v>19.4224335695412</v>
      </c>
      <c r="AR73" s="15" t="n">
        <f aca="false">SUM(AR68:AR72)</f>
        <v>18.3166337712786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240.233065349912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2.51943505524055</v>
      </c>
      <c r="J74" s="15" t="n">
        <f aca="false">J52*$D$37/1000*(Исходные!$C$23+Исходные!$C$24*J56)/1000+Исходные!$C$25*J56*(J69+J70)</f>
        <v>5.30713760997694</v>
      </c>
      <c r="K74" s="15" t="n">
        <f aca="false">K52*$D$37/1000*(Исходные!$C$23+Исходные!$C$24*K56)/1000+Исходные!$C$25*K56*(K69+K70)</f>
        <v>7.8180354192291</v>
      </c>
      <c r="L74" s="15" t="n">
        <f aca="false">L52*$D$37/1000*(Исходные!$C$23+Исходные!$C$24*L56)/1000+Исходные!$C$25*L56*(L69+L70)</f>
        <v>8.19601607511343</v>
      </c>
      <c r="M74" s="15" t="n">
        <f aca="false">M52*$D$37/1000*(Исходные!$C$23+Исходные!$C$24*M56)/1000+Исходные!$C$25*M56*(M69+M70)</f>
        <v>8.57399673099777</v>
      </c>
      <c r="N74" s="15" t="n">
        <f aca="false">N52*$D$37/1000*(Исходные!$C$23+Исходные!$C$24*N56)/1000+Исходные!$C$25*N56*(N69+N70)</f>
        <v>8.9519773868821</v>
      </c>
      <c r="O74" s="15" t="n">
        <f aca="false">O52*$D$37/1000*(Исходные!$C$23+Исходные!$C$24*O56)/1000+Исходные!$C$25*O56*(O69+O70)</f>
        <v>9.32995804276643</v>
      </c>
      <c r="P74" s="15" t="n">
        <f aca="false">P52*$D$37/1000*(Исходные!$C$23+Исходные!$C$24*P56)/1000+Исходные!$C$25*P56*(P69+P70)</f>
        <v>9.67990770933099</v>
      </c>
      <c r="Q74" s="15" t="n">
        <f aca="false">Q52*$D$37/1000*(Исходные!$C$23+Исходные!$C$24*Q56)/1000+Исходные!$C$25*Q56*(Q69+Q70)</f>
        <v>10.0551353216214</v>
      </c>
      <c r="R74" s="15" t="n">
        <f aca="false">R52*$D$37/1000*(Исходные!$C$23+Исходные!$C$24*R56)/1000+Исходные!$C$25*R56*(R69+R70)</f>
        <v>10.4303629339118</v>
      </c>
      <c r="S74" s="15" t="n">
        <f aca="false">S52*$D$37/1000*(Исходные!$C$23+Исходные!$C$24*S56)/1000+Исходные!$C$25*S56*(S69+S70)</f>
        <v>10.8055905462023</v>
      </c>
      <c r="T74" s="15" t="n">
        <f aca="false">T52*$D$37/1000*(Исходные!$C$23+Исходные!$C$24*T56)/1000+Исходные!$C$25*T56*(T69+T70)</f>
        <v>11.1808181584927</v>
      </c>
      <c r="U74" s="15" t="n">
        <f aca="false">U52*$D$37/1000*(Исходные!$C$23+Исходные!$C$24*U56)/1000+Исходные!$C$25*U56*(U69+U70)</f>
        <v>11.5446752370773</v>
      </c>
      <c r="V74" s="15" t="n">
        <f aca="false">V52*$D$37/1000*(Исходные!$C$23+Исходные!$C$24*V56)/1000+Исходные!$C$25*V56*(V69+V70)</f>
        <v>10.747865719657</v>
      </c>
      <c r="W74" s="15" t="n">
        <f aca="false">W52*$D$37/1000*(Исходные!$C$23+Исходные!$C$24*W56)/1000+Исходные!$C$25*W56*(W69+W70)</f>
        <v>10.0062259417611</v>
      </c>
      <c r="X74" s="15" t="n">
        <f aca="false">X52*$D$37/1000*(Исходные!$C$23+Исходные!$C$24*X56)/1000+Исходные!$C$25*X56*(X69+X70)</f>
        <v>9.31593604419786</v>
      </c>
      <c r="Y74" s="15" t="n">
        <f aca="false">Y52*$D$37/1000*(Исходные!$C$23+Исходные!$C$24*Y56)/1000+Исходные!$C$25*Y56*(Y69+Y70)</f>
        <v>8.67344064834711</v>
      </c>
      <c r="Z74" s="15" t="n">
        <f aca="false">Z52*$D$37/1000*(Исходные!$C$23+Исходные!$C$24*Z56)/1000+Исходные!$C$25*Z56*(Z69+Z70)</f>
        <v>8.07543054397414</v>
      </c>
      <c r="AA74" s="15" t="n">
        <f aca="false">AA52*$D$37/1000*(Исходные!$C$23+Исходные!$C$24*AA56)/1000+Исходные!$C$25*AA56*(AA69+AA70)</f>
        <v>7.51882564494814</v>
      </c>
      <c r="AB74" s="15" t="n">
        <f aca="false">AB52*$D$37/1000*(Исходные!$C$23+Исходные!$C$24*AB56)/1000+Исходные!$C$25*AB56*(AB69+AB70)</f>
        <v>7.00075912507791</v>
      </c>
      <c r="AC74" s="15" t="n">
        <f aca="false">AC52*$D$37/1000*(Исходные!$C$23+Исходные!$C$24*AC56)/1000+Исходные!$C$25*AC56*(AC69+AC70)</f>
        <v>6.51856265235532</v>
      </c>
      <c r="AD74" s="15" t="n">
        <f aca="false">AD52*$D$37/1000*(Исходные!$C$23+Исходные!$C$24*AD56)/1000+Исходные!$C$25*AD56*(AD69+AD70)</f>
        <v>6.06975264555473</v>
      </c>
      <c r="AE74" s="15" t="n">
        <f aca="false">AE52*$D$37/1000*(Исходные!$C$23+Исходные!$C$24*AE56)/1000+Исходные!$C$25*AE56*(AE69+AE70)</f>
        <v>5.65201748240223</v>
      </c>
      <c r="AF74" s="15" t="n">
        <f aca="false">AF52*$D$37/1000*(Исходные!$C$23+Исходные!$C$24*AF56)/1000+Исходные!$C$25*AF56*(AF69+AF70)</f>
        <v>5.26320559342937</v>
      </c>
      <c r="AG74" s="15" t="n">
        <f aca="false">AG52*$D$37/1000*(Исходные!$C$23+Исходные!$C$24*AG56)/1000+Исходные!$C$25*AG56*(AG69+AG70)</f>
        <v>4.90131438018849</v>
      </c>
      <c r="AH74" s="15" t="n">
        <f aca="false">AH52*$D$37/1000*(Исходные!$C$23+Исходные!$C$24*AH56)/1000+Исходные!$C$25*AH56*(AH69+AH70)</f>
        <v>4.56447990075182</v>
      </c>
      <c r="AI74" s="15" t="n">
        <f aca="false">AI52*$D$37/1000*(Исходные!$C$23+Исходные!$C$24*AI56)/1000+Исходные!$C$25*AI56*(AI69+AI70)</f>
        <v>4.25096726936928</v>
      </c>
      <c r="AJ74" s="15" t="n">
        <f aca="false">AJ52*$D$37/1000*(Исходные!$C$23+Исходные!$C$24*AJ56)/1000+Исходные!$C$25*AJ56*(AJ69+AJ70)</f>
        <v>3.95916172083758</v>
      </c>
      <c r="AK74" s="15" t="n">
        <f aca="false">AK52*$D$37/1000*(Исходные!$C$23+Исходные!$C$24*AK56)/1000+Исходные!$C$25*AK56*(AK69+AK70)</f>
        <v>3.68756029355733</v>
      </c>
      <c r="AL74" s="15" t="n">
        <f aca="false">AL52*$D$37/1000*(Исходные!$C$23+Исходные!$C$24*AL56)/1000+Исходные!$C$25*AL56*(AL69+AL70)</f>
        <v>3.43476408844112</v>
      </c>
      <c r="AM74" s="15" t="n">
        <f aca="false">AM52*$D$37/1000*(Исходные!$C$23+Исходные!$C$24*AM56)/1000+Исходные!$C$25*AM56*(AM69+AM70)</f>
        <v>3.19947106380167</v>
      </c>
      <c r="AN74" s="15" t="n">
        <f aca="false">AN52*$D$37/1000*(Исходные!$C$23+Исходные!$C$24*AN56)/1000+Исходные!$C$25*AN56*(AN69+AN70)</f>
        <v>2.98046932910979</v>
      </c>
      <c r="AO74" s="15" t="n">
        <f aca="false">AO52*$D$37/1000*(Исходные!$C$23+Исходные!$C$24*AO56)/1000+Исходные!$C$25*AO56*(AO69+AO70)</f>
        <v>2.776630903081</v>
      </c>
      <c r="AP74" s="15" t="n">
        <f aca="false">AP52*$D$37/1000*(Исходные!$C$23+Исходные!$C$24*AP56)/1000+Исходные!$C$25*AP56*(AP69+AP70)</f>
        <v>2.58690590394185</v>
      </c>
      <c r="AQ74" s="15" t="n">
        <f aca="false">AQ52*$D$37/1000*(Исходные!$C$23+Исходные!$C$24*AQ56)/1000+Исходные!$C$25*AQ56*(AQ69+AQ70)</f>
        <v>2.41031714195214</v>
      </c>
      <c r="AR74" s="15" t="n">
        <f aca="false">AR52*$D$37/1000*(Исходные!$C$23+Исходные!$C$24*AR56)/1000+Исходные!$C$25*AR56*(AR69+AR70)</f>
        <v>2.24595508633192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4.48856223950046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2.24428111975023</v>
      </c>
      <c r="H80" s="15" t="n">
        <f aca="false">$D80*CAPEX_нормы!M$10</f>
        <v>2.24428111975023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10.75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4.3</v>
      </c>
      <c r="J92" s="15" t="n">
        <f aca="false">$D92*CAPEX_нормы!O$22</f>
        <v>6.45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362.294393226489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112.805653442062</v>
      </c>
      <c r="H93" s="15" t="n">
        <f aca="false">SUM(H76:H92)</f>
        <v>80.3228860833972</v>
      </c>
      <c r="I93" s="15" t="n">
        <f aca="false">SUM(I76:I92)</f>
        <v>11.1571428571429</v>
      </c>
      <c r="J93" s="15" t="n">
        <f aca="false">SUM(J76:J92)</f>
        <v>6.45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20.5256595751815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204.704514739914</v>
      </c>
      <c r="H94" s="15" t="n">
        <f aca="false">G94+H93</f>
        <v>285.027400823311</v>
      </c>
      <c r="I94" s="15" t="n">
        <f aca="false">H94+I93</f>
        <v>296.184543680454</v>
      </c>
      <c r="J94" s="15" t="n">
        <f aca="false">I94+J93</f>
        <v>302.634543680454</v>
      </c>
      <c r="K94" s="15" t="n">
        <f aca="false">J94+K93</f>
        <v>302.634543680454</v>
      </c>
      <c r="L94" s="15" t="n">
        <f aca="false">K94+L93</f>
        <v>302.634543680454</v>
      </c>
      <c r="M94" s="15" t="n">
        <f aca="false">L94+M93</f>
        <v>302.634543680454</v>
      </c>
      <c r="N94" s="15" t="n">
        <f aca="false">M94+N93</f>
        <v>305.205972251882</v>
      </c>
      <c r="O94" s="15" t="n">
        <f aca="false">N94+O93</f>
        <v>321.243074076126</v>
      </c>
      <c r="P94" s="15" t="n">
        <f aca="false">O94+P93</f>
        <v>341.768733651307</v>
      </c>
      <c r="Q94" s="15" t="n">
        <f aca="false">P94+Q93</f>
        <v>344.340162222736</v>
      </c>
      <c r="R94" s="15" t="n">
        <f aca="false">Q94+R93</f>
        <v>344.340162222736</v>
      </c>
      <c r="S94" s="15" t="n">
        <f aca="false">R94+S93</f>
        <v>344.340162222736</v>
      </c>
      <c r="T94" s="15" t="n">
        <f aca="false">S94+T93</f>
        <v>344.340162222736</v>
      </c>
      <c r="U94" s="15" t="n">
        <f aca="false">T94+U93</f>
        <v>344.340162222736</v>
      </c>
      <c r="V94" s="15" t="n">
        <f aca="false">U94+V93</f>
        <v>344.340162222736</v>
      </c>
      <c r="W94" s="15" t="n">
        <f aca="false">V94+W93</f>
        <v>362.294393226489</v>
      </c>
      <c r="X94" s="15" t="n">
        <f aca="false">W94+X93</f>
        <v>362.294393226489</v>
      </c>
      <c r="Y94" s="15" t="n">
        <f aca="false">X94+Y93</f>
        <v>362.294393226489</v>
      </c>
      <c r="Z94" s="15" t="n">
        <f aca="false">Y94+Z93</f>
        <v>362.294393226489</v>
      </c>
      <c r="AA94" s="15" t="n">
        <f aca="false">Z94+AA93</f>
        <v>362.294393226489</v>
      </c>
      <c r="AB94" s="15" t="n">
        <f aca="false">AA94+AB93</f>
        <v>362.294393226489</v>
      </c>
      <c r="AC94" s="15" t="n">
        <f aca="false">AB94+AC93</f>
        <v>362.294393226489</v>
      </c>
      <c r="AD94" s="15" t="n">
        <f aca="false">AC94+AD93</f>
        <v>362.294393226489</v>
      </c>
      <c r="AE94" s="15" t="n">
        <f aca="false">AD94+AE93</f>
        <v>362.294393226489</v>
      </c>
      <c r="AF94" s="15" t="n">
        <f aca="false">AE94+AF93</f>
        <v>362.294393226489</v>
      </c>
      <c r="AG94" s="15" t="n">
        <f aca="false">AF94+AG93</f>
        <v>362.294393226489</v>
      </c>
      <c r="AH94" s="15" t="n">
        <f aca="false">AG94+AH93</f>
        <v>362.294393226489</v>
      </c>
      <c r="AI94" s="15" t="n">
        <f aca="false">AH94+AI93</f>
        <v>362.294393226489</v>
      </c>
      <c r="AJ94" s="15" t="n">
        <f aca="false">AI94+AJ93</f>
        <v>362.294393226489</v>
      </c>
      <c r="AK94" s="15" t="n">
        <f aca="false">AJ94+AK93</f>
        <v>362.294393226489</v>
      </c>
      <c r="AL94" s="15" t="n">
        <f aca="false">AK94+AL93</f>
        <v>362.294393226489</v>
      </c>
      <c r="AM94" s="15" t="n">
        <f aca="false">AL94+AM93</f>
        <v>362.294393226489</v>
      </c>
      <c r="AN94" s="15" t="n">
        <f aca="false">AM94+AN93</f>
        <v>362.294393226489</v>
      </c>
      <c r="AO94" s="15" t="n">
        <f aca="false">AN94+AO93</f>
        <v>362.294393226489</v>
      </c>
      <c r="AP94" s="15" t="n">
        <f aca="false">AO94+AP93</f>
        <v>362.294393226489</v>
      </c>
      <c r="AQ94" s="15" t="n">
        <f aca="false">AP94+AQ93</f>
        <v>362.294393226489</v>
      </c>
      <c r="AR94" s="15" t="n">
        <f aca="false">AQ94+AR93</f>
        <v>362.294393226489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248.834115167095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5.17242772388713</v>
      </c>
      <c r="J97" s="15" t="n">
        <f aca="false">J96*Исходные!$C$33*J94+J52*Исходные!$C$34/1000+J62*Исходные!$C$35/1000+(J61+J62)*Исходные!$C$36/1000+IF(J59&gt;0,$D$43*Исходные!$C$41/1000,0)+J96*$D$33</f>
        <v>5.99883729256745</v>
      </c>
      <c r="K97" s="15" t="n">
        <f aca="false">K96*Исходные!$C$33*K94+K52*Исходные!$C$34/1000+K62*Исходные!$C$35/1000+(K61+K62)*Исходные!$C$36/1000+IF(K59&gt;0,$D$43*Исходные!$C$41/1000,0)+K96*$D$33</f>
        <v>7.00524254314013</v>
      </c>
      <c r="L97" s="15" t="n">
        <f aca="false">L96*Исходные!$C$33*L94+L52*Исходные!$C$34/1000+L62*Исходные!$C$35/1000+(L61+L62)*Исходные!$C$36/1000+IF(L59&gt;0,$D$43*Исходные!$C$41/1000,0)+L96*$D$33</f>
        <v>7.00524254314013</v>
      </c>
      <c r="M97" s="15" t="n">
        <f aca="false">M96*Исходные!$C$33*M94+M52*Исходные!$C$34/1000+M62*Исходные!$C$35/1000+(M61+M62)*Исходные!$C$36/1000+IF(M59&gt;0,$D$43*Исходные!$C$41/1000,0)+M96*$D$33</f>
        <v>7.00524254314013</v>
      </c>
      <c r="N97" s="15" t="n">
        <f aca="false">N96*Исходные!$C$33*N94+N52*Исходные!$C$34/1000+N62*Исходные!$C$35/1000+(N61+N62)*Исходные!$C$36/1000+IF(N59&gt;0,$D$43*Исходные!$C$41/1000,0)+N96*$D$33</f>
        <v>7.04381397171155</v>
      </c>
      <c r="O97" s="15" t="n">
        <f aca="false">O96*Исходные!$C$33*O94+O52*Исходные!$C$34/1000+O62*Исходные!$C$35/1000+(O61+O62)*Исходные!$C$36/1000+IF(O59&gt;0,$D$43*Исходные!$C$41/1000,0)+O96*$D$33</f>
        <v>7.2843704990752</v>
      </c>
      <c r="P97" s="15" t="n">
        <f aca="false">P96*Исходные!$C$33*P94+P52*Исходные!$C$34/1000+P62*Исходные!$C$35/1000+(P61+P62)*Исходные!$C$36/1000+IF(P59&gt;0,$D$43*Исходные!$C$41/1000,0)+P96*$D$33</f>
        <v>7.58853528873907</v>
      </c>
      <c r="Q97" s="15" t="n">
        <f aca="false">Q96*Исходные!$C$33*Q94+Q52*Исходные!$C$34/1000+Q62*Исходные!$C$35/1000+(Q61+Q62)*Исходные!$C$36/1000+IF(Q59&gt;0,$D$43*Исходные!$C$41/1000,0)+Q96*$D$33</f>
        <v>7.6271067173105</v>
      </c>
      <c r="R97" s="15" t="n">
        <f aca="false">R96*Исходные!$C$33*R94+R52*Исходные!$C$34/1000+R62*Исходные!$C$35/1000+(R61+R62)*Исходные!$C$36/1000+IF(R59&gt;0,$D$43*Исходные!$C$41/1000,0)+R96*$D$33</f>
        <v>7.6271067173105</v>
      </c>
      <c r="S97" s="15" t="n">
        <f aca="false">S96*Исходные!$C$33*S94+S52*Исходные!$C$34/1000+S62*Исходные!$C$35/1000+(S61+S62)*Исходные!$C$36/1000+IF(S59&gt;0,$D$43*Исходные!$C$41/1000,0)+S96*$D$33</f>
        <v>7.6271067173105</v>
      </c>
      <c r="T97" s="15" t="n">
        <f aca="false">T96*Исходные!$C$33*T94+T52*Исходные!$C$34/1000+T62*Исходные!$C$35/1000+(T61+T62)*Исходные!$C$36/1000+IF(T59&gt;0,$D$43*Исходные!$C$41/1000,0)+T96*$D$33</f>
        <v>7.6271067173105</v>
      </c>
      <c r="U97" s="15" t="n">
        <f aca="false">U96*Исходные!$C$33*U94+U52*Исходные!$C$34/1000+U62*Исходные!$C$35/1000+(U61+U62)*Исходные!$C$36/1000+IF(U59&gt;0,$D$43*Исходные!$C$41/1000,0)+U96*$D$33</f>
        <v>7.6271067173105</v>
      </c>
      <c r="V97" s="15" t="n">
        <f aca="false">V96*Исходные!$C$33*V94+V52*Исходные!$C$34/1000+V62*Исходные!$C$35/1000+(V61+V62)*Исходные!$C$36/1000+IF(V59&gt;0,$D$43*Исходные!$C$41/1000,0)+V96*$D$33</f>
        <v>7.48590719629426</v>
      </c>
      <c r="W97" s="15" t="n">
        <f aca="false">W96*Исходные!$C$33*W94+W52*Исходные!$C$34/1000+W62*Исходные!$C$35/1000+(W61+W62)*Исходные!$C$36/1000+IF(W59&gt;0,$D$43*Исходные!$C$41/1000,0)+W96*$D$33</f>
        <v>7.62379755568219</v>
      </c>
      <c r="X97" s="15" t="n">
        <f aca="false">X96*Исходные!$C$33*X94+X52*Исходные!$C$34/1000+X62*Исходные!$C$35/1000+(X61+X62)*Исходные!$C$36/1000+IF(X59&gt;0,$D$43*Исходные!$C$41/1000,0)+X96*$D$33</f>
        <v>7.50147396294469</v>
      </c>
      <c r="Y97" s="15" t="n">
        <f aca="false">Y96*Исходные!$C$33*Y94+Y52*Исходные!$C$34/1000+Y62*Исходные!$C$35/1000+(Y61+Y62)*Исходные!$C$36/1000+IF(Y59&gt;0,$D$43*Исходные!$C$41/1000,0)+Y96*$D$33</f>
        <v>7.38761984829635</v>
      </c>
      <c r="Z97" s="15" t="n">
        <f aca="false">Z96*Исходные!$C$33*Z94+Z52*Исходные!$C$34/1000+Z62*Исходные!$C$35/1000+(Z61+Z62)*Исходные!$C$36/1000+IF(Z59&gt;0,$D$43*Исходные!$C$41/1000,0)+Z96*$D$33</f>
        <v>7.28164879943927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7.18301500626846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7.09121044964488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7.00576228481299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6.92623040598616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6.85220517955596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6.78330533425024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6.71917599737305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6.65948686701202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6.60393051079896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6.55222078246144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6.50409134800958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6.45929431396725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6.41759895058214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6.37879050343867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6.34266908735274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6.30904865685138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6.2777560479346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6.2486300861841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362.294393226489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285.027400823311</v>
      </c>
      <c r="J98" s="15" t="n">
        <f aca="false">I93</f>
        <v>11.1571428571429</v>
      </c>
      <c r="K98" s="15" t="n">
        <f aca="false">J93</f>
        <v>6.45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20.5256595751815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362.294393226489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19.0018267215541</v>
      </c>
      <c r="J99" s="15" t="n">
        <f aca="true">SUM(OFFSET(J98,0,-MIN(Исходные!$C$32-1,J47),1,MIN(Исходные!$C$32,J47+1)))/Исходные!$C$32</f>
        <v>19.7456362453636</v>
      </c>
      <c r="K99" s="15" t="n">
        <f aca="true">SUM(OFFSET(K98,0,-MIN(Исходные!$C$32-1,K47),1,MIN(Исходные!$C$32,K47+1)))/Исходные!$C$32</f>
        <v>20.1756362453636</v>
      </c>
      <c r="L99" s="15" t="n">
        <f aca="true">SUM(OFFSET(L98,0,-MIN(Исходные!$C$32-1,L47),1,MIN(Исходные!$C$32,L47+1)))/Исходные!$C$32</f>
        <v>20.1756362453636</v>
      </c>
      <c r="M99" s="15" t="n">
        <f aca="true">SUM(OFFSET(M98,0,-MIN(Исходные!$C$32-1,M47),1,MIN(Исходные!$C$32,M47+1)))/Исходные!$C$32</f>
        <v>20.1756362453636</v>
      </c>
      <c r="N99" s="15" t="n">
        <f aca="true">SUM(OFFSET(N98,0,-MIN(Исходные!$C$32-1,N47),1,MIN(Исходные!$C$32,N47+1)))/Исходные!$C$32</f>
        <v>20.1756362453636</v>
      </c>
      <c r="O99" s="15" t="n">
        <f aca="true">SUM(OFFSET(O98,0,-MIN(Исходные!$C$32-1,O47),1,MIN(Исходные!$C$32,O47+1)))/Исходные!$C$32</f>
        <v>20.3470648167922</v>
      </c>
      <c r="P99" s="15" t="n">
        <f aca="true">SUM(OFFSET(P98,0,-MIN(Исходные!$C$32-1,P47),1,MIN(Исходные!$C$32,P47+1)))/Исходные!$C$32</f>
        <v>21.4162049384084</v>
      </c>
      <c r="Q99" s="15" t="n">
        <f aca="true">SUM(OFFSET(Q98,0,-MIN(Исходные!$C$32-1,Q47),1,MIN(Исходные!$C$32,Q47+1)))/Исходные!$C$32</f>
        <v>22.7845822434205</v>
      </c>
      <c r="R99" s="15" t="n">
        <f aca="true">SUM(OFFSET(R98,0,-MIN(Исходные!$C$32-1,R47),1,MIN(Исходные!$C$32,R47+1)))/Исходные!$C$32</f>
        <v>22.956010814849</v>
      </c>
      <c r="S99" s="15" t="n">
        <f aca="true">SUM(OFFSET(S98,0,-MIN(Исходные!$C$32-1,S47),1,MIN(Исходные!$C$32,S47+1)))/Исходные!$C$32</f>
        <v>22.956010814849</v>
      </c>
      <c r="T99" s="15" t="n">
        <f aca="true">SUM(OFFSET(T98,0,-MIN(Исходные!$C$32-1,T47),1,MIN(Исходные!$C$32,T47+1)))/Исходные!$C$32</f>
        <v>22.956010814849</v>
      </c>
      <c r="U99" s="15" t="n">
        <f aca="true">SUM(OFFSET(U98,0,-MIN(Исходные!$C$32-1,U47),1,MIN(Исходные!$C$32,U47+1)))/Исходные!$C$32</f>
        <v>22.956010814849</v>
      </c>
      <c r="V99" s="15" t="n">
        <f aca="true">SUM(OFFSET(V98,0,-MIN(Исходные!$C$32-1,V47),1,MIN(Исходные!$C$32,V47+1)))/Исходные!$C$32</f>
        <v>22.956010814849</v>
      </c>
      <c r="W99" s="15" t="n">
        <f aca="true">SUM(OFFSET(W98,0,-MIN(Исходные!$C$32-1,W47),1,MIN(Исходные!$C$32,W47+1)))/Исходные!$C$32</f>
        <v>22.956010814849</v>
      </c>
      <c r="X99" s="15" t="n">
        <f aca="true">SUM(OFFSET(X98,0,-MIN(Исходные!$C$32-1,X47),1,MIN(Исходные!$C$32,X47+1)))/Исходные!$C$32</f>
        <v>5.15113282687851</v>
      </c>
      <c r="Y99" s="15" t="n">
        <f aca="true">SUM(OFFSET(Y98,0,-MIN(Исходные!$C$32-1,Y47),1,MIN(Исходные!$C$32,Y47+1)))/Исходные!$C$32</f>
        <v>4.40732330306898</v>
      </c>
      <c r="Z99" s="15" t="n">
        <f aca="true">SUM(OFFSET(Z98,0,-MIN(Исходные!$C$32-1,Z47),1,MIN(Исходные!$C$32,Z47+1)))/Исходные!$C$32</f>
        <v>3.97732330306898</v>
      </c>
      <c r="AA99" s="15" t="n">
        <f aca="true">SUM(OFFSET(AA98,0,-MIN(Исходные!$C$32-1,AA47),1,MIN(Исходные!$C$32,AA47+1)))/Исходные!$C$32</f>
        <v>3.97732330306898</v>
      </c>
      <c r="AB99" s="15" t="n">
        <f aca="true">SUM(OFFSET(AB98,0,-MIN(Исходные!$C$32-1,AB47),1,MIN(Исходные!$C$32,AB47+1)))/Исходные!$C$32</f>
        <v>3.97732330306898</v>
      </c>
      <c r="AC99" s="15" t="n">
        <f aca="true">SUM(OFFSET(AC98,0,-MIN(Исходные!$C$32-1,AC47),1,MIN(Исходные!$C$32,AC47+1)))/Исходные!$C$32</f>
        <v>3.97732330306898</v>
      </c>
      <c r="AD99" s="15" t="n">
        <f aca="true">SUM(OFFSET(AD98,0,-MIN(Исходные!$C$32-1,AD47),1,MIN(Исходные!$C$32,AD47+1)))/Исходные!$C$32</f>
        <v>3.80589473164041</v>
      </c>
      <c r="AE99" s="15" t="n">
        <f aca="true">SUM(OFFSET(AE98,0,-MIN(Исходные!$C$32-1,AE47),1,MIN(Исходные!$C$32,AE47+1)))/Исходные!$C$32</f>
        <v>2.73675461002419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19.0018267215541</v>
      </c>
      <c r="J100" s="15" t="n">
        <f aca="false">I100+J99</f>
        <v>38.7474629669177</v>
      </c>
      <c r="K100" s="15" t="n">
        <f aca="false">J100+K99</f>
        <v>58.9230992122812</v>
      </c>
      <c r="L100" s="15" t="n">
        <f aca="false">K100+L99</f>
        <v>79.0987354576448</v>
      </c>
      <c r="M100" s="15" t="n">
        <f aca="false">L100+M99</f>
        <v>99.2743717030084</v>
      </c>
      <c r="N100" s="15" t="n">
        <f aca="false">M100+N99</f>
        <v>119.450007948372</v>
      </c>
      <c r="O100" s="15" t="n">
        <f aca="false">N100+O99</f>
        <v>139.797072765164</v>
      </c>
      <c r="P100" s="15" t="n">
        <f aca="false">O100+P99</f>
        <v>161.213277703573</v>
      </c>
      <c r="Q100" s="15" t="n">
        <f aca="false">P100+Q99</f>
        <v>183.997859946993</v>
      </c>
      <c r="R100" s="15" t="n">
        <f aca="false">Q100+R99</f>
        <v>206.953870761842</v>
      </c>
      <c r="S100" s="15" t="n">
        <f aca="false">R100+S99</f>
        <v>229.909881576691</v>
      </c>
      <c r="T100" s="15" t="n">
        <f aca="false">S100+T99</f>
        <v>252.86589239154</v>
      </c>
      <c r="U100" s="15" t="n">
        <f aca="false">T100+U99</f>
        <v>275.821903206389</v>
      </c>
      <c r="V100" s="15" t="n">
        <f aca="false">U100+V99</f>
        <v>298.777914021238</v>
      </c>
      <c r="W100" s="15" t="n">
        <f aca="false">V100+W99</f>
        <v>321.733924836087</v>
      </c>
      <c r="X100" s="15" t="n">
        <f aca="false">W100+X99</f>
        <v>326.885057662966</v>
      </c>
      <c r="Y100" s="15" t="n">
        <f aca="false">X100+Y99</f>
        <v>331.292380966035</v>
      </c>
      <c r="Z100" s="15" t="n">
        <f aca="false">Y100+Z99</f>
        <v>335.269704269104</v>
      </c>
      <c r="AA100" s="15" t="n">
        <f aca="false">Z100+AA99</f>
        <v>339.247027572173</v>
      </c>
      <c r="AB100" s="15" t="n">
        <f aca="false">AA100+AB99</f>
        <v>343.224350875242</v>
      </c>
      <c r="AC100" s="15" t="n">
        <f aca="false">AB100+AC99</f>
        <v>347.201674178311</v>
      </c>
      <c r="AD100" s="15" t="n">
        <f aca="false">AC100+AD99</f>
        <v>351.007568909951</v>
      </c>
      <c r="AE100" s="15" t="n">
        <f aca="false">AD100+AE99</f>
        <v>353.744323519975</v>
      </c>
      <c r="AF100" s="15" t="n">
        <f aca="false">AE100+AF99</f>
        <v>355.112700824988</v>
      </c>
      <c r="AG100" s="15" t="n">
        <f aca="false">AF100+AG99</f>
        <v>356.309649558571</v>
      </c>
      <c r="AH100" s="15" t="n">
        <f aca="false">AG100+AH99</f>
        <v>357.506598292155</v>
      </c>
      <c r="AI100" s="15" t="n">
        <f aca="false">AH100+AI99</f>
        <v>358.703547025738</v>
      </c>
      <c r="AJ100" s="15" t="n">
        <f aca="false">AI100+AJ99</f>
        <v>359.900495759322</v>
      </c>
      <c r="AK100" s="15" t="n">
        <f aca="false">AJ100+AK99</f>
        <v>361.097444492905</v>
      </c>
      <c r="AL100" s="15" t="n">
        <f aca="false">AK100+AL99</f>
        <v>362.294393226489</v>
      </c>
      <c r="AM100" s="15" t="n">
        <f aca="false">AL100+AM99</f>
        <v>362.294393226489</v>
      </c>
      <c r="AN100" s="15" t="n">
        <f aca="false">AM100+AN99</f>
        <v>362.294393226489</v>
      </c>
      <c r="AO100" s="15" t="n">
        <f aca="false">AN100+AO99</f>
        <v>362.294393226489</v>
      </c>
      <c r="AP100" s="15" t="n">
        <f aca="false">AO100+AP99</f>
        <v>362.294393226489</v>
      </c>
      <c r="AQ100" s="15" t="n">
        <f aca="false">AP100+AQ99</f>
        <v>362.294393226489</v>
      </c>
      <c r="AR100" s="15" t="n">
        <f aca="false">AQ100+AR99</f>
        <v>362.294393226489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57.4932103897491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6.0980197730958</v>
      </c>
      <c r="J101" s="15" t="n">
        <f aca="false">J96*Исходные!$C$31*(J94-J100)</f>
        <v>5.8055157756978</v>
      </c>
      <c r="K101" s="15" t="n">
        <f aca="false">K96*Исходные!$C$31*(K94-K100)</f>
        <v>5.3616517782998</v>
      </c>
      <c r="L101" s="15" t="n">
        <f aca="false">L96*Исходные!$C$31*(L94-L100)</f>
        <v>4.9177877809018</v>
      </c>
      <c r="M101" s="15" t="n">
        <f aca="false">M96*Исходные!$C$31*(M94-M100)</f>
        <v>4.4739237835038</v>
      </c>
      <c r="N101" s="15" t="n">
        <f aca="false">N96*Исходные!$C$31*(N94-N100)</f>
        <v>4.08663121467723</v>
      </c>
      <c r="O101" s="15" t="n">
        <f aca="false">O96*Исходные!$C$31*(O94-O100)</f>
        <v>3.99181202884115</v>
      </c>
      <c r="P101" s="15" t="n">
        <f aca="false">P96*Исходные!$C$31*(P94-P100)</f>
        <v>3.97222003085016</v>
      </c>
      <c r="Q101" s="15" t="n">
        <f aca="false">Q96*Исходные!$C$31*(Q94-Q100)</f>
        <v>3.52753065006634</v>
      </c>
      <c r="R101" s="15" t="n">
        <f aca="false">R96*Исходные!$C$31*(R94-R100)</f>
        <v>3.02249841213966</v>
      </c>
      <c r="S101" s="15" t="n">
        <f aca="false">S96*Исходные!$C$31*(S94-S100)</f>
        <v>2.51746617421298</v>
      </c>
      <c r="T101" s="15" t="n">
        <f aca="false">T96*Исходные!$C$31*(T94-T100)</f>
        <v>2.0124339362863</v>
      </c>
      <c r="U101" s="15" t="n">
        <f aca="false">U96*Исходные!$C$31*(U94-U100)</f>
        <v>1.50740169835962</v>
      </c>
      <c r="V101" s="15" t="n">
        <f aca="false">V96*Исходные!$C$31*(V94-V100)</f>
        <v>1.00236946043294</v>
      </c>
      <c r="W101" s="15" t="n">
        <f aca="false">W96*Исходные!$C$31*(W94-W100)</f>
        <v>0.892330304588827</v>
      </c>
      <c r="X101" s="15" t="n">
        <f aca="false">X96*Исходные!$C$31*(X94-X100)</f>
        <v>0.7790053823975</v>
      </c>
      <c r="Y101" s="15" t="n">
        <f aca="false">Y96*Исходные!$C$31*(Y94-Y100)</f>
        <v>0.682044269729982</v>
      </c>
      <c r="Z101" s="15" t="n">
        <f aca="false">Z96*Исходные!$C$31*(Z94-Z100)</f>
        <v>0.594543157062464</v>
      </c>
      <c r="AA101" s="15" t="n">
        <f aca="false">AA96*Исходные!$C$31*(AA94-AA100)</f>
        <v>0.507042044394946</v>
      </c>
      <c r="AB101" s="15" t="n">
        <f aca="false">AB96*Исходные!$C$31*(AB94-AB100)</f>
        <v>0.419540931727428</v>
      </c>
      <c r="AC101" s="15" t="n">
        <f aca="false">AC96*Исходные!$C$31*(AC94-AC100)</f>
        <v>0.33203981905991</v>
      </c>
      <c r="AD101" s="15" t="n">
        <f aca="false">AD96*Исходные!$C$31*(AD94-AD100)</f>
        <v>0.248310134963821</v>
      </c>
      <c r="AE101" s="15" t="n">
        <f aca="false">AE96*Исходные!$C$31*(AE94-AE100)</f>
        <v>0.188101533543288</v>
      </c>
      <c r="AF101" s="15" t="n">
        <f aca="false">AF96*Исходные!$C$31*(AF94-AF100)</f>
        <v>0.157997232833023</v>
      </c>
      <c r="AG101" s="15" t="n">
        <f aca="false">AG96*Исходные!$C$31*(AG94-AG100)</f>
        <v>0.131664360694185</v>
      </c>
      <c r="AH101" s="15" t="n">
        <f aca="false">AH96*Исходные!$C$31*(AH94-AH100)</f>
        <v>0.105331488555346</v>
      </c>
      <c r="AI101" s="15" t="n">
        <f aca="false">AI96*Исходные!$C$31*(AI94-AI100)</f>
        <v>0.0789986164165083</v>
      </c>
      <c r="AJ101" s="15" t="n">
        <f aca="false">AJ96*Исходные!$C$31*(AJ94-AJ100)</f>
        <v>0.0526657442776701</v>
      </c>
      <c r="AK101" s="15" t="n">
        <f aca="false">AK96*Исходные!$C$31*(AK94-AK100)</f>
        <v>0.0263328721388319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1353.72091436442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14.2918413678129</v>
      </c>
      <c r="J102" s="15" t="n">
        <f aca="false">J73-J74-J97-J101</f>
        <v>39.0519571618306</v>
      </c>
      <c r="K102" s="15" t="n">
        <f aca="false">K73-K74-K97-K101</f>
        <v>61.8954052357588</v>
      </c>
      <c r="L102" s="15" t="n">
        <f aca="false">L73-L74-L97-L101</f>
        <v>61.9612885772725</v>
      </c>
      <c r="M102" s="15" t="n">
        <f aca="false">M73-M74-M97-M101</f>
        <v>62.0271719187862</v>
      </c>
      <c r="N102" s="15" t="n">
        <f aca="false">N73-N74-N97-N101</f>
        <v>61.997912403157</v>
      </c>
      <c r="O102" s="15" t="n">
        <f aca="false">O73-O74-O97-O101</f>
        <v>61.4741944057451</v>
      </c>
      <c r="P102" s="15" t="n">
        <f aca="false">P73-P74-P97-P101</f>
        <v>59.6361694937918</v>
      </c>
      <c r="Q102" s="15" t="n">
        <f aca="false">Q73-Q74-Q97-Q101</f>
        <v>59.6670598337138</v>
      </c>
      <c r="R102" s="15" t="n">
        <f aca="false">R73-R74-R97-R101</f>
        <v>59.79686445935</v>
      </c>
      <c r="S102" s="15" t="n">
        <f aca="false">S73-S74-S97-S101</f>
        <v>59.9266690849863</v>
      </c>
      <c r="T102" s="15" t="n">
        <f aca="false">T73-T74-T97-T101</f>
        <v>60.0564737106225</v>
      </c>
      <c r="U102" s="15" t="n">
        <f aca="false">U73-U74-U97-U101</f>
        <v>60.1976488699646</v>
      </c>
      <c r="V102" s="15" t="n">
        <f aca="false">V73-V74-V97-V101</f>
        <v>56.2798919968263</v>
      </c>
      <c r="W102" s="15" t="n">
        <f aca="false">W73-W74-W97-W101</f>
        <v>52.0040549931446</v>
      </c>
      <c r="X102" s="15" t="n">
        <f aca="false">X73-X74-X97-X101</f>
        <v>48.2858410397649</v>
      </c>
      <c r="Y102" s="15" t="n">
        <f aca="false">Y73-Y74-Y97-Y101</f>
        <v>44.8165525299657</v>
      </c>
      <c r="Z102" s="15" t="n">
        <f aca="false">Z73-Z74-Z97-Z101</f>
        <v>41.5847250953407</v>
      </c>
      <c r="AA102" s="15" t="n">
        <f aca="false">AA73-AA74-AA97-AA101</f>
        <v>38.5827223394456</v>
      </c>
      <c r="AB102" s="15" t="n">
        <f aca="false">AB73-AB74-AB97-AB101</f>
        <v>35.7946315913287</v>
      </c>
      <c r="AC102" s="15" t="n">
        <f aca="false">AC73-AC74-AC97-AC101</f>
        <v>33.2056419463859</v>
      </c>
      <c r="AD102" s="15" t="n">
        <f aca="false">AD73-AD74-AD97-AD101</f>
        <v>30.7981965533556</v>
      </c>
      <c r="AE102" s="15" t="n">
        <f aca="false">AE73-AE74-AE97-AE101</f>
        <v>28.5397148147293</v>
      </c>
      <c r="AF102" s="15" t="n">
        <f aca="false">AF73-AF74-AF97-AF101</f>
        <v>26.4116709618267</v>
      </c>
      <c r="AG102" s="15" t="n">
        <f aca="false">AG73-AG74-AG97-AG101</f>
        <v>24.4292821980924</v>
      </c>
      <c r="AH102" s="15" t="n">
        <f aca="false">AH73-AH74-AH97-AH101</f>
        <v>22.5859739134503</v>
      </c>
      <c r="AI102" s="15" t="n">
        <f aca="false">AI73-AI74-AI97-AI101</f>
        <v>20.8721164114215</v>
      </c>
      <c r="AJ102" s="15" t="n">
        <f aca="false">AJ73-AJ74-AJ97-AJ101</f>
        <v>19.2787467393781</v>
      </c>
      <c r="AK102" s="15" t="n">
        <f aca="false">AK73-AK74-AK97-AK101</f>
        <v>17.7975225243302</v>
      </c>
      <c r="AL102" s="15" t="n">
        <f aca="false">AL73-AL74-AL97-AL101</f>
        <v>16.4206790050445</v>
      </c>
      <c r="AM102" s="15" t="n">
        <f aca="false">AM73-AM74-AM97-AM101</f>
        <v>15.1146561670468</v>
      </c>
      <c r="AN102" s="15" t="n">
        <f aca="false">AN73-AN74-AN97-AN101</f>
        <v>13.8990601352179</v>
      </c>
      <c r="AO102" s="15" t="n">
        <f aca="false">AO73-AO74-AO97-AO101</f>
        <v>12.7676299108709</v>
      </c>
      <c r="AP102" s="15" t="n">
        <f aca="false">AP73-AP74-AP97-AP101</f>
        <v>11.7145379962485</v>
      </c>
      <c r="AQ102" s="15" t="n">
        <f aca="false">AQ73-AQ74-AQ97-AQ101</f>
        <v>10.7343603796545</v>
      </c>
      <c r="AR102" s="15" t="n">
        <f aca="false">AR73-AR74-AR97-AR101</f>
        <v>9.82204859876253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249.034126622919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4.82658022911675</v>
      </c>
      <c r="K103" s="15" t="n">
        <f aca="false">MAX(0,K102-K99)*Исходные!$C$30</f>
        <v>10.4299422475988</v>
      </c>
      <c r="L103" s="15" t="n">
        <f aca="false">MAX(0,L102-L99)*Исходные!$C$30</f>
        <v>10.4464130829772</v>
      </c>
      <c r="M103" s="15" t="n">
        <f aca="false">MAX(0,M102-M99)*Исходные!$C$30</f>
        <v>10.4628839183556</v>
      </c>
      <c r="N103" s="15" t="n">
        <f aca="false">MAX(0,N102-N99)*Исходные!$C$30</f>
        <v>10.4555690394484</v>
      </c>
      <c r="O103" s="15" t="n">
        <f aca="false">MAX(0,O102-O99)*Исходные!$C$30</f>
        <v>10.2817823972382</v>
      </c>
      <c r="P103" s="15" t="n">
        <f aca="false">MAX(0,P102-P99)*Исходные!$C$30</f>
        <v>9.55499113884586</v>
      </c>
      <c r="Q103" s="15" t="n">
        <f aca="false">MAX(0,Q102-Q99)*Исходные!$C$30</f>
        <v>9.22061939757333</v>
      </c>
      <c r="R103" s="15" t="n">
        <f aca="false">MAX(0,R102-R99)*Исходные!$C$30</f>
        <v>9.21021341112525</v>
      </c>
      <c r="S103" s="15" t="n">
        <f aca="false">MAX(0,S102-S99)*Исходные!$C$30</f>
        <v>9.24266456753431</v>
      </c>
      <c r="T103" s="15" t="n">
        <f aca="false">MAX(0,T102-T99)*Исходные!$C$30</f>
        <v>9.27511572394337</v>
      </c>
      <c r="U103" s="15" t="n">
        <f aca="false">MAX(0,U102-U99)*Исходные!$C$30</f>
        <v>9.31040951377888</v>
      </c>
      <c r="V103" s="15" t="n">
        <f aca="false">MAX(0,V102-V99)*Исходные!$C$30</f>
        <v>8.33097029549431</v>
      </c>
      <c r="W103" s="15" t="n">
        <f aca="false">MAX(0,W102-W99)*Исходные!$C$30</f>
        <v>7.2620110445739</v>
      </c>
      <c r="X103" s="15" t="n">
        <f aca="false">MAX(0,X102-X99)*Исходные!$C$30</f>
        <v>10.7836770532216</v>
      </c>
      <c r="Y103" s="15" t="n">
        <f aca="false">MAX(0,Y102-Y99)*Исходные!$C$30</f>
        <v>10.1023073067242</v>
      </c>
      <c r="Z103" s="15" t="n">
        <f aca="false">MAX(0,Z102-Z99)*Исходные!$C$30</f>
        <v>9.40185044806793</v>
      </c>
      <c r="AA103" s="15" t="n">
        <f aca="false">MAX(0,AA102-AA99)*Исходные!$C$30</f>
        <v>8.65134975909414</v>
      </c>
      <c r="AB103" s="15" t="n">
        <f aca="false">MAX(0,AB102-AB99)*Исходные!$C$30</f>
        <v>7.95432707206493</v>
      </c>
      <c r="AC103" s="15" t="n">
        <f aca="false">MAX(0,AC102-AC99)*Исходные!$C$30</f>
        <v>7.30707966082923</v>
      </c>
      <c r="AD103" s="15" t="n">
        <f aca="false">MAX(0,AD102-AD99)*Исходные!$C$30</f>
        <v>6.74807545542879</v>
      </c>
      <c r="AE103" s="15" t="n">
        <f aca="false">MAX(0,AE102-AE99)*Исходные!$C$30</f>
        <v>6.45074005117627</v>
      </c>
      <c r="AF103" s="15" t="n">
        <f aca="false">MAX(0,AF102-AF99)*Исходные!$C$30</f>
        <v>6.26082341420366</v>
      </c>
      <c r="AG103" s="15" t="n">
        <f aca="false">MAX(0,AG102-AG99)*Исходные!$C$30</f>
        <v>5.80808336612721</v>
      </c>
      <c r="AH103" s="15" t="n">
        <f aca="false">MAX(0,AH102-AH99)*Исходные!$C$30</f>
        <v>5.34725629496671</v>
      </c>
      <c r="AI103" s="15" t="n">
        <f aca="false">MAX(0,AI102-AI99)*Исходные!$C$30</f>
        <v>4.91879191945949</v>
      </c>
      <c r="AJ103" s="15" t="n">
        <f aca="false">MAX(0,AJ102-AJ99)*Исходные!$C$30</f>
        <v>4.52044950144863</v>
      </c>
      <c r="AK103" s="15" t="n">
        <f aca="false">MAX(0,AK102-AK99)*Исходные!$C$30</f>
        <v>4.15014344768667</v>
      </c>
      <c r="AL103" s="15" t="n">
        <f aca="false">MAX(0,AL102-AL99)*Исходные!$C$30</f>
        <v>3.80593256786525</v>
      </c>
      <c r="AM103" s="15" t="n">
        <f aca="false">MAX(0,AM102-AM99)*Исходные!$C$30</f>
        <v>3.7786640417617</v>
      </c>
      <c r="AN103" s="15" t="n">
        <f aca="false">MAX(0,AN102-AN99)*Исходные!$C$30</f>
        <v>3.47476503380448</v>
      </c>
      <c r="AO103" s="15" t="n">
        <f aca="false">MAX(0,AO102-AO99)*Исходные!$C$30</f>
        <v>3.19190747771772</v>
      </c>
      <c r="AP103" s="15" t="n">
        <f aca="false">MAX(0,AP102-AP99)*Исходные!$C$30</f>
        <v>2.92863449906213</v>
      </c>
      <c r="AQ103" s="15" t="n">
        <f aca="false">MAX(0,AQ102-AQ99)*Исходные!$C$30</f>
        <v>2.68359009491362</v>
      </c>
      <c r="AR103" s="15" t="n">
        <f aca="false">MAX(0,AR102-AR99)*Исходные!$C$30</f>
        <v>2.45551214969063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742.392394515016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-112.805653442062</v>
      </c>
      <c r="H105" s="15" t="n">
        <f aca="false">H102-H103-H93</f>
        <v>-80.3228860833972</v>
      </c>
      <c r="I105" s="15" t="n">
        <f aca="false">I102-I103-I93</f>
        <v>3.13469851067005</v>
      </c>
      <c r="J105" s="15" t="n">
        <f aca="false">J102-J103-J93</f>
        <v>27.7753769327138</v>
      </c>
      <c r="K105" s="15" t="n">
        <f aca="false">K102-K103-K93</f>
        <v>51.46546298816</v>
      </c>
      <c r="L105" s="15" t="n">
        <f aca="false">L102-L103-L93</f>
        <v>51.5148754942953</v>
      </c>
      <c r="M105" s="15" t="n">
        <f aca="false">M102-M103-M93</f>
        <v>51.5642880004305</v>
      </c>
      <c r="N105" s="15" t="n">
        <f aca="false">N102-N103-N93</f>
        <v>48.9709147922801</v>
      </c>
      <c r="O105" s="15" t="n">
        <f aca="false">O102-O103-O93</f>
        <v>35.1553101842636</v>
      </c>
      <c r="P105" s="15" t="n">
        <f aca="false">P102-P103-P93</f>
        <v>29.5555187797645</v>
      </c>
      <c r="Q105" s="15" t="n">
        <f aca="false">Q102-Q103-Q93</f>
        <v>47.8750118647119</v>
      </c>
      <c r="R105" s="15" t="n">
        <f aca="false">R102-R103-R93</f>
        <v>50.5866510482248</v>
      </c>
      <c r="S105" s="15" t="n">
        <f aca="false">S102-S103-S93</f>
        <v>50.684004517452</v>
      </c>
      <c r="T105" s="15" t="n">
        <f aca="false">T102-T103-T93</f>
        <v>50.7813579866792</v>
      </c>
      <c r="U105" s="15" t="n">
        <f aca="false">U102-U103-U93</f>
        <v>50.8872393561857</v>
      </c>
      <c r="V105" s="15" t="n">
        <f aca="false">V102-V103-V93</f>
        <v>47.948921701332</v>
      </c>
      <c r="W105" s="15" t="n">
        <f aca="false">W102-W103-W93</f>
        <v>26.7878129448178</v>
      </c>
      <c r="X105" s="15" t="n">
        <f aca="false">X102-X103-X93</f>
        <v>37.5021639865433</v>
      </c>
      <c r="Y105" s="15" t="n">
        <f aca="false">Y102-Y103-Y93</f>
        <v>34.7142452232415</v>
      </c>
      <c r="Z105" s="15" t="n">
        <f aca="false">Z102-Z103-Z93</f>
        <v>32.1828746472728</v>
      </c>
      <c r="AA105" s="15" t="n">
        <f aca="false">AA102-AA103-AA93</f>
        <v>29.9313725803514</v>
      </c>
      <c r="AB105" s="15" t="n">
        <f aca="false">AB102-AB103-AB93</f>
        <v>27.8403045192638</v>
      </c>
      <c r="AC105" s="15" t="n">
        <f aca="false">AC102-AC103-AC93</f>
        <v>25.8985622855567</v>
      </c>
      <c r="AD105" s="15" t="n">
        <f aca="false">AD102-AD103-AD93</f>
        <v>24.0501210979268</v>
      </c>
      <c r="AE105" s="15" t="n">
        <f aca="false">AE102-AE103-AE93</f>
        <v>22.088974763553</v>
      </c>
      <c r="AF105" s="15" t="n">
        <f aca="false">AF102-AF103-AF93</f>
        <v>20.1508475476231</v>
      </c>
      <c r="AG105" s="15" t="n">
        <f aca="false">AG102-AG103-AG93</f>
        <v>18.6211988319652</v>
      </c>
      <c r="AH105" s="15" t="n">
        <f aca="false">AH102-AH103-AH93</f>
        <v>17.2387176184836</v>
      </c>
      <c r="AI105" s="15" t="n">
        <f aca="false">AI102-AI103-AI93</f>
        <v>15.953324491962</v>
      </c>
      <c r="AJ105" s="15" t="n">
        <f aca="false">AJ102-AJ103-AJ93</f>
        <v>14.7582972379294</v>
      </c>
      <c r="AK105" s="15" t="n">
        <f aca="false">AK102-AK103-AK93</f>
        <v>13.6473790766435</v>
      </c>
      <c r="AL105" s="15" t="n">
        <f aca="false">AL102-AL103-AL93</f>
        <v>12.6147464371793</v>
      </c>
      <c r="AM105" s="15" t="n">
        <f aca="false">AM102-AM103-AM93</f>
        <v>11.3359921252851</v>
      </c>
      <c r="AN105" s="15" t="n">
        <f aca="false">AN102-AN103-AN93</f>
        <v>10.4242951014134</v>
      </c>
      <c r="AO105" s="15" t="n">
        <f aca="false">AO102-AO103-AO93</f>
        <v>9.57572243315316</v>
      </c>
      <c r="AP105" s="15" t="n">
        <f aca="false">AP102-AP103-AP93</f>
        <v>8.78590349718639</v>
      </c>
      <c r="AQ105" s="15" t="n">
        <f aca="false">AQ102-AQ103-AQ93</f>
        <v>8.05077028474085</v>
      </c>
      <c r="AR105" s="15" t="n">
        <f aca="false">AR102-AR103-AR93</f>
        <v>7.3665364490719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22.5117962619646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-88.8892317457925</v>
      </c>
      <c r="H107" s="15" t="n">
        <f aca="false">H105*H106</f>
        <v>-57.5393440576669</v>
      </c>
      <c r="I107" s="15" t="n">
        <f aca="false">I105*I106</f>
        <v>2.04140274468122</v>
      </c>
      <c r="J107" s="15" t="n">
        <f aca="false">J105*J106</f>
        <v>16.4437245391445</v>
      </c>
      <c r="K107" s="15" t="n">
        <f aca="false">K105*K106</f>
        <v>27.6989579232181</v>
      </c>
      <c r="L107" s="15" t="n">
        <f aca="false">L105*L106</f>
        <v>25.2050472454186</v>
      </c>
      <c r="M107" s="15" t="n">
        <f aca="false">M105*M106</f>
        <v>22.9356578650436</v>
      </c>
      <c r="N107" s="15" t="n">
        <f aca="false">N105*N106</f>
        <v>19.8019385221267</v>
      </c>
      <c r="O107" s="15" t="n">
        <f aca="false">O105*O106</f>
        <v>12.9231308002444</v>
      </c>
      <c r="P107" s="15" t="n">
        <f aca="false">P105*P106</f>
        <v>9.87694663940764</v>
      </c>
      <c r="Q107" s="15" t="n">
        <f aca="false">Q105*Q106</f>
        <v>14.5445513784142</v>
      </c>
      <c r="R107" s="15" t="n">
        <f aca="false">R105*R106</f>
        <v>13.9712311966146</v>
      </c>
      <c r="S107" s="15" t="n">
        <f aca="false">S105*S106</f>
        <v>12.7255624379233</v>
      </c>
      <c r="T107" s="15" t="n">
        <f aca="false">T105*T106</f>
        <v>11.5909141874517</v>
      </c>
      <c r="U107" s="15" t="n">
        <f aca="false">U105*U106</f>
        <v>10.5591652312571</v>
      </c>
      <c r="V107" s="15" t="n">
        <f aca="false">V105*V106</f>
        <v>9.04496425127365</v>
      </c>
      <c r="W107" s="15" t="n">
        <f aca="false">W105*W106</f>
        <v>4.59380527631443</v>
      </c>
      <c r="X107" s="15" t="n">
        <f aca="false">X105*X106</f>
        <v>5.84654057389587</v>
      </c>
      <c r="Y107" s="15" t="n">
        <f aca="false">Y105*Y106</f>
        <v>4.91991592472271</v>
      </c>
      <c r="Z107" s="15" t="n">
        <f aca="false">Z105*Z106</f>
        <v>4.14650413454799</v>
      </c>
      <c r="AA107" s="15" t="n">
        <f aca="false">AA105*AA106</f>
        <v>3.50583293747448</v>
      </c>
      <c r="AB107" s="15" t="n">
        <f aca="false">AB105*AB106</f>
        <v>2.96446194801537</v>
      </c>
      <c r="AC107" s="15" t="n">
        <f aca="false">AC105*AC106</f>
        <v>2.50700309006106</v>
      </c>
      <c r="AD107" s="15" t="n">
        <f aca="false">AD105*AD106</f>
        <v>2.11642944935597</v>
      </c>
      <c r="AE107" s="15" t="n">
        <f aca="false">AE105*AE106</f>
        <v>1.76713367226679</v>
      </c>
      <c r="AF107" s="15" t="n">
        <f aca="false">AF105*AF106</f>
        <v>1.46552919838111</v>
      </c>
      <c r="AG107" s="15" t="n">
        <f aca="false">AG105*AG106</f>
        <v>1.23116457385229</v>
      </c>
      <c r="AH107" s="15" t="n">
        <f aca="false">AH105*AH106</f>
        <v>1.03614549603286</v>
      </c>
      <c r="AI107" s="15" t="n">
        <f aca="false">AI105*AI106</f>
        <v>0.871714563214772</v>
      </c>
      <c r="AJ107" s="15" t="n">
        <f aca="false">AJ105*AJ106</f>
        <v>0.733105825345649</v>
      </c>
      <c r="AK107" s="15" t="n">
        <f aca="false">AK105*AK106</f>
        <v>0.616292648528494</v>
      </c>
      <c r="AL107" s="15" t="n">
        <f aca="false">AL105*AL106</f>
        <v>0.517873361925644</v>
      </c>
      <c r="AM107" s="15" t="n">
        <f aca="false">AM105*AM106</f>
        <v>0.423069675703412</v>
      </c>
      <c r="AN107" s="15" t="n">
        <f aca="false">AN105*AN106</f>
        <v>0.353676638513233</v>
      </c>
      <c r="AO107" s="15" t="n">
        <f aca="false">AO105*AO106</f>
        <v>0.29535106459962</v>
      </c>
      <c r="AP107" s="15" t="n">
        <f aca="false">AP105*AP106</f>
        <v>0.246354633670377</v>
      </c>
      <c r="AQ107" s="15" t="n">
        <f aca="false">AQ105*AQ106</f>
        <v>0.205219703760982</v>
      </c>
      <c r="AR107" s="15" t="n">
        <f aca="false">AR105*AR106</f>
        <v>0.17070737269455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-169.845886405465</v>
      </c>
      <c r="H108" s="15" t="n">
        <f aca="false">G108+H107</f>
        <v>-227.385230463132</v>
      </c>
      <c r="I108" s="15" t="n">
        <f aca="false">H108+I107</f>
        <v>-225.343827718451</v>
      </c>
      <c r="J108" s="15" t="n">
        <f aca="false">I108+J107</f>
        <v>-208.900103179307</v>
      </c>
      <c r="K108" s="15" t="n">
        <f aca="false">J108+K107</f>
        <v>-181.201145256088</v>
      </c>
      <c r="L108" s="15" t="n">
        <f aca="false">K108+L107</f>
        <v>-155.99609801067</v>
      </c>
      <c r="M108" s="15" t="n">
        <f aca="false">L108+M107</f>
        <v>-133.060440145626</v>
      </c>
      <c r="N108" s="15" t="n">
        <f aca="false">M108+N107</f>
        <v>-113.2585016235</v>
      </c>
      <c r="O108" s="15" t="n">
        <f aca="false">N108+O107</f>
        <v>-100.335370823255</v>
      </c>
      <c r="P108" s="15" t="n">
        <f aca="false">O108+P107</f>
        <v>-90.4584241838476</v>
      </c>
      <c r="Q108" s="15" t="n">
        <f aca="false">P108+Q107</f>
        <v>-75.9138728054334</v>
      </c>
      <c r="R108" s="15" t="n">
        <f aca="false">Q108+R107</f>
        <v>-61.9426416088187</v>
      </c>
      <c r="S108" s="15" t="n">
        <f aca="false">R108+S107</f>
        <v>-49.2170791708955</v>
      </c>
      <c r="T108" s="15" t="n">
        <f aca="false">S108+T107</f>
        <v>-37.6261649834438</v>
      </c>
      <c r="U108" s="15" t="n">
        <f aca="false">T108+U107</f>
        <v>-27.0669997521867</v>
      </c>
      <c r="V108" s="15" t="n">
        <f aca="false">U108+V107</f>
        <v>-18.022035500913</v>
      </c>
      <c r="W108" s="15" t="n">
        <f aca="false">V108+W107</f>
        <v>-13.4282302245986</v>
      </c>
      <c r="X108" s="15" t="n">
        <f aca="false">W108+X107</f>
        <v>-7.58168965070269</v>
      </c>
      <c r="Y108" s="15" t="n">
        <f aca="false">X108+Y107</f>
        <v>-2.66177372597999</v>
      </c>
      <c r="Z108" s="15" t="n">
        <f aca="false">Y108+Z107</f>
        <v>1.484730408568</v>
      </c>
      <c r="AA108" s="15" t="n">
        <f aca="false">Z108+AA107</f>
        <v>4.99056334604248</v>
      </c>
      <c r="AB108" s="15" t="n">
        <f aca="false">AA108+AB107</f>
        <v>7.95502529405785</v>
      </c>
      <c r="AC108" s="15" t="n">
        <f aca="false">AB108+AC107</f>
        <v>10.4620283841189</v>
      </c>
      <c r="AD108" s="15" t="n">
        <f aca="false">AC108+AD107</f>
        <v>12.5784578334749</v>
      </c>
      <c r="AE108" s="15" t="n">
        <f aca="false">AD108+AE107</f>
        <v>14.3455915057417</v>
      </c>
      <c r="AF108" s="15" t="n">
        <f aca="false">AE108+AF107</f>
        <v>15.8111207041228</v>
      </c>
      <c r="AG108" s="15" t="n">
        <f aca="false">AF108+AG107</f>
        <v>17.0422852779751</v>
      </c>
      <c r="AH108" s="15" t="n">
        <f aca="false">AG108+AH107</f>
        <v>18.0784307740079</v>
      </c>
      <c r="AI108" s="15" t="n">
        <f aca="false">AH108+AI107</f>
        <v>18.9501453372227</v>
      </c>
      <c r="AJ108" s="15" t="n">
        <f aca="false">AI108+AJ107</f>
        <v>19.6832511625683</v>
      </c>
      <c r="AK108" s="15" t="n">
        <f aca="false">AJ108+AK107</f>
        <v>20.2995438110968</v>
      </c>
      <c r="AL108" s="15" t="n">
        <f aca="false">AK108+AL107</f>
        <v>20.8174171730225</v>
      </c>
      <c r="AM108" s="15" t="n">
        <f aca="false">AL108+AM107</f>
        <v>21.2404868487259</v>
      </c>
      <c r="AN108" s="15" t="n">
        <f aca="false">AM108+AN107</f>
        <v>21.5941634872391</v>
      </c>
      <c r="AO108" s="15" t="n">
        <f aca="false">AN108+AO107</f>
        <v>21.8895145518387</v>
      </c>
      <c r="AP108" s="15" t="n">
        <f aca="false">AO108+AP107</f>
        <v>22.1358691855091</v>
      </c>
      <c r="AQ108" s="15" t="n">
        <f aca="false">AP108+AQ107</f>
        <v>22.3410888892701</v>
      </c>
      <c r="AR108" s="15" t="n">
        <f aca="false">AQ108+AR107</f>
        <v>22.5117962619647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1</v>
      </c>
      <c r="AA109" s="40" t="n">
        <f aca="false">IF(OR(Z109=1,AND(AA108&gt;0,AA46&gt;2031)),1,0)</f>
        <v>1</v>
      </c>
      <c r="AB109" s="40" t="n">
        <f aca="false">IF(OR(AA109=1,AND(AB108&gt;0,AB46&gt;2031)),1,0)</f>
        <v>1</v>
      </c>
      <c r="AC109" s="40" t="n">
        <f aca="false">IF(OR(AB109=1,AND(AC108&gt;0,AC46&gt;2031)),1,0)</f>
        <v>1</v>
      </c>
      <c r="AD109" s="40" t="n">
        <f aca="false">IF(OR(AC109=1,AND(AD108&gt;0,AD46&gt;2031)),1,0)</f>
        <v>1</v>
      </c>
      <c r="AE109" s="40" t="n">
        <f aca="false">IF(OR(AD109=1,AND(AE108&gt;0,AE46&gt;2031)),1,0)</f>
        <v>1</v>
      </c>
      <c r="AF109" s="40" t="n">
        <f aca="false">IF(OR(AE109=1,AND(AF108&gt;0,AF46&gt;2031)),1,0)</f>
        <v>1</v>
      </c>
      <c r="AG109" s="40" t="n">
        <f aca="false">IF(OR(AF109=1,AND(AG108&gt;0,AG46&gt;2031)),1,0)</f>
        <v>1</v>
      </c>
      <c r="AH109" s="40" t="n">
        <f aca="false">IF(OR(AG109=1,AND(AH108&gt;0,AH46&gt;2031)),1,0)</f>
        <v>1</v>
      </c>
      <c r="AI109" s="40" t="n">
        <f aca="false">IF(OR(AH109=1,AND(AI108&gt;0,AI46&gt;2031)),1,0)</f>
        <v>1</v>
      </c>
      <c r="AJ109" s="40" t="n">
        <f aca="false">IF(OR(AI109=1,AND(AJ108&gt;0,AJ46&gt;2031)),1,0)</f>
        <v>1</v>
      </c>
      <c r="AK109" s="40" t="n">
        <f aca="false">IF(OR(AJ109=1,AND(AK108&gt;0,AK46&gt;2031)),1,0)</f>
        <v>1</v>
      </c>
      <c r="AL109" s="40" t="n">
        <f aca="false">IF(OR(AK109=1,AND(AL108&gt;0,AL46&gt;2031)),1,0)</f>
        <v>1</v>
      </c>
      <c r="AM109" s="40" t="n">
        <f aca="false">IF(OR(AL109=1,AND(AM108&gt;0,AM46&gt;2031)),1,0)</f>
        <v>1</v>
      </c>
      <c r="AN109" s="40" t="n">
        <f aca="false">IF(OR(AM109=1,AND(AN108&gt;0,AN46&gt;2031)),1,0)</f>
        <v>1</v>
      </c>
      <c r="AO109" s="40" t="n">
        <f aca="false">IF(OR(AN109=1,AND(AO108&gt;0,AO46&gt;2031)),1,0)</f>
        <v>1</v>
      </c>
      <c r="AP109" s="40" t="n">
        <f aca="false">IF(OR(AO109=1,AND(AP108&gt;0,AP46&gt;2031)),1,0)</f>
        <v>1</v>
      </c>
      <c r="AQ109" s="40" t="n">
        <f aca="false">IF(OR(AP109=1,AND(AQ108&gt;0,AQ46&gt;2031)),1,0)</f>
        <v>1</v>
      </c>
      <c r="AR109" s="40" t="n">
        <f aca="false">IF(OR(AQ109=1,AND(AR108&gt;0,AR46&gt;2031)),1,0)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421</v>
      </c>
    </row>
    <row r="3" customFormat="false" ht="15" hidden="false" customHeight="false" outlineLevel="0" collapsed="false">
      <c r="B3" s="2" t="s">
        <v>422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-1.55177926963406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0.0993216693065005</v>
      </c>
    </row>
    <row r="7" customFormat="false" ht="15" hidden="false" customHeight="false" outlineLevel="0" collapsed="false">
      <c r="B7" s="8" t="s">
        <v>32</v>
      </c>
      <c r="C7" s="40" t="str">
        <f aca="false">IF(SUM(E109:AR109)=0,"нет",2067-SUM(E109:AR109))</f>
        <v>нет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0.994428806494003</v>
      </c>
    </row>
    <row r="9" customFormat="false" ht="15" hidden="false" customHeight="false" outlineLevel="0" collapsed="false">
      <c r="B9" s="8" t="s">
        <v>34</v>
      </c>
      <c r="C9" s="41" t="n">
        <f aca="false">D93</f>
        <v>393.46322439532</v>
      </c>
    </row>
    <row r="10" customFormat="false" ht="15" hidden="false" customHeight="false" outlineLevel="0" collapsed="false">
      <c r="B10" s="8" t="s">
        <v>35</v>
      </c>
      <c r="C10" s="40" t="n">
        <f aca="false">$D$42</f>
        <v>77.9220779220779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Сценарии!$I$6</f>
        <v>T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Сценарии!$I$7</f>
        <v>T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Сценарии!$I$8</f>
        <v>1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Сценарии!$I$9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Сценарии!$I$10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Сценарии!$I$11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Сценарии!$I$12</f>
        <v>0.55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Сценарии!$I$13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Сценарии!$I$14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Сценарии!$I$15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Сценарии!$I$16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Сценарии!$I$17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Сценарии!$I$18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Сценарии!$I$19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Сценарии!$I$20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Сценарии!$I$21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Сценарии!$I$22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Сценарии!$I$23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Сценарии!$I$24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41.3344884872284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988.429214607304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36.5653039339633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5201.39108111017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77.9220779220779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6.34412901506064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0.186592029854725</v>
      </c>
      <c r="L59" s="54" t="n">
        <f aca="false">IF(AND($D$17=1,L46&gt;=Исходные!$C$42,L52&gt;0),$D$44,0)</f>
        <v>0.186592029854725</v>
      </c>
      <c r="M59" s="54" t="n">
        <f aca="false">IF(AND($D$17=1,M46&gt;=Исходные!$C$42,M52&gt;0),$D$44,0)</f>
        <v>0.186592029854725</v>
      </c>
      <c r="N59" s="54" t="n">
        <f aca="false">IF(AND($D$17=1,N46&gt;=Исходные!$C$42,N52&gt;0),$D$44,0)</f>
        <v>0.186592029854725</v>
      </c>
      <c r="O59" s="54" t="n">
        <f aca="false">IF(AND($D$17=1,O46&gt;=Исходные!$C$42,O52&gt;0),$D$44,0)</f>
        <v>0.186592029854725</v>
      </c>
      <c r="P59" s="54" t="n">
        <f aca="false">IF(AND($D$17=1,P46&gt;=Исходные!$C$42,P52&gt;0),$D$44,0)</f>
        <v>0.186592029854725</v>
      </c>
      <c r="Q59" s="54" t="n">
        <f aca="false">IF(AND($D$17=1,Q46&gt;=Исходные!$C$42,Q52&gt;0),$D$44,0)</f>
        <v>0.186592029854725</v>
      </c>
      <c r="R59" s="54" t="n">
        <f aca="false">IF(AND($D$17=1,R46&gt;=Исходные!$C$42,R52&gt;0),$D$44,0)</f>
        <v>0.186592029854725</v>
      </c>
      <c r="S59" s="54" t="n">
        <f aca="false">IF(AND($D$17=1,S46&gt;=Исходные!$C$42,S52&gt;0),$D$44,0)</f>
        <v>0.186592029854725</v>
      </c>
      <c r="T59" s="54" t="n">
        <f aca="false">IF(AND($D$17=1,T46&gt;=Исходные!$C$42,T52&gt;0),$D$44,0)</f>
        <v>0.186592029854725</v>
      </c>
      <c r="U59" s="54" t="n">
        <f aca="false">IF(AND($D$17=1,U46&gt;=Исходные!$C$42,U52&gt;0),$D$44,0)</f>
        <v>0.186592029854725</v>
      </c>
      <c r="V59" s="54" t="n">
        <f aca="false">IF(AND($D$17=1,V46&gt;=Исходные!$C$42,V52&gt;0),$D$44,0)</f>
        <v>0.186592029854725</v>
      </c>
      <c r="W59" s="54" t="n">
        <f aca="false">IF(AND($D$17=1,W46&gt;=Исходные!$C$42,W52&gt;0),$D$44,0)</f>
        <v>0.186592029854725</v>
      </c>
      <c r="X59" s="54" t="n">
        <f aca="false">IF(AND($D$17=1,X46&gt;=Исходные!$C$42,X52&gt;0),$D$44,0)</f>
        <v>0.186592029854725</v>
      </c>
      <c r="Y59" s="54" t="n">
        <f aca="false">IF(AND($D$17=1,Y46&gt;=Исходные!$C$42,Y52&gt;0),$D$44,0)</f>
        <v>0.186592029854725</v>
      </c>
      <c r="Z59" s="54" t="n">
        <f aca="false">IF(AND($D$17=1,Z46&gt;=Исходные!$C$42,Z52&gt;0),$D$44,0)</f>
        <v>0.186592029854725</v>
      </c>
      <c r="AA59" s="54" t="n">
        <f aca="false">IF(AND($D$17=1,AA46&gt;=Исходные!$C$42,AA52&gt;0),$D$44,0)</f>
        <v>0.186592029854725</v>
      </c>
      <c r="AB59" s="54" t="n">
        <f aca="false">IF(AND($D$17=1,AB46&gt;=Исходные!$C$42,AB52&gt;0),$D$44,0)</f>
        <v>0.186592029854725</v>
      </c>
      <c r="AC59" s="54" t="n">
        <f aca="false">IF(AND($D$17=1,AC46&gt;=Исходные!$C$42,AC52&gt;0),$D$44,0)</f>
        <v>0.186592029854725</v>
      </c>
      <c r="AD59" s="54" t="n">
        <f aca="false">IF(AND($D$17=1,AD46&gt;=Исходные!$C$42,AD52&gt;0),$D$44,0)</f>
        <v>0.186592029854725</v>
      </c>
      <c r="AE59" s="54" t="n">
        <f aca="false">IF(AND($D$17=1,AE46&gt;=Исходные!$C$42,AE52&gt;0),$D$44,0)</f>
        <v>0.186592029854725</v>
      </c>
      <c r="AF59" s="54" t="n">
        <f aca="false">IF(AND($D$17=1,AF46&gt;=Исходные!$C$42,AF52&gt;0),$D$44,0)</f>
        <v>0.186592029854725</v>
      </c>
      <c r="AG59" s="54" t="n">
        <f aca="false">IF(AND($D$17=1,AG46&gt;=Исходные!$C$42,AG52&gt;0),$D$44,0)</f>
        <v>0.186592029854725</v>
      </c>
      <c r="AH59" s="54" t="n">
        <f aca="false">IF(AND($D$17=1,AH46&gt;=Исходные!$C$42,AH52&gt;0),$D$44,0)</f>
        <v>0.186592029854725</v>
      </c>
      <c r="AI59" s="54" t="n">
        <f aca="false">IF(AND($D$17=1,AI46&gt;=Исходные!$C$42,AI52&gt;0),$D$44,0)</f>
        <v>0.186592029854725</v>
      </c>
      <c r="AJ59" s="54" t="n">
        <f aca="false">IF(AND($D$17=1,AJ46&gt;=Исходные!$C$42,AJ52&gt;0),$D$44,0)</f>
        <v>0.186592029854725</v>
      </c>
      <c r="AK59" s="54" t="n">
        <f aca="false">IF(AND($D$17=1,AK46&gt;=Исходные!$C$42,AK52&gt;0),$D$44,0)</f>
        <v>0.186592029854725</v>
      </c>
      <c r="AL59" s="54" t="n">
        <f aca="false">IF(AND($D$17=1,AL46&gt;=Исходные!$C$42,AL52&gt;0),$D$44,0)</f>
        <v>0.186592029854725</v>
      </c>
      <c r="AM59" s="54" t="n">
        <f aca="false">IF(AND($D$17=1,AM46&gt;=Исходные!$C$42,AM52&gt;0),$D$44,0)</f>
        <v>0.186592029854725</v>
      </c>
      <c r="AN59" s="54" t="n">
        <f aca="false">IF(AND($D$17=1,AN46&gt;=Исходные!$C$42,AN52&gt;0),$D$44,0)</f>
        <v>0.186592029854725</v>
      </c>
      <c r="AO59" s="54" t="n">
        <f aca="false">IF(AND($D$17=1,AO46&gt;=Исходные!$C$42,AO52&gt;0),$D$44,0)</f>
        <v>0.186592029854725</v>
      </c>
      <c r="AP59" s="54" t="n">
        <f aca="false">IF(AND($D$17=1,AP46&gt;=Исходные!$C$42,AP52&gt;0),$D$44,0)</f>
        <v>0.186592029854725</v>
      </c>
      <c r="AQ59" s="54" t="n">
        <f aca="false">IF(AND($D$17=1,AQ46&gt;=Исходные!$C$42,AQ52&gt;0),$D$44,0)</f>
        <v>0.186592029854725</v>
      </c>
      <c r="AR59" s="54" t="n">
        <f aca="false">IF(AND($D$17=1,AR46&gt;=Исходные!$C$42,AR52&gt;0),$D$44,0)</f>
        <v>0.186592029854725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257.231589394239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4.15140270135068</v>
      </c>
      <c r="J60" s="15" t="n">
        <f aca="false">J58*$D$37/1000-J59</f>
        <v>8.30280540270135</v>
      </c>
      <c r="K60" s="15" t="n">
        <f aca="false">K58*$D$37/1000-K59</f>
        <v>11.4373355339272</v>
      </c>
      <c r="L60" s="15" t="n">
        <f aca="false">L58*$D$37/1000-L59</f>
        <v>11.4373355339272</v>
      </c>
      <c r="M60" s="15" t="n">
        <f aca="false">M58*$D$37/1000-M59</f>
        <v>11.4373355339272</v>
      </c>
      <c r="N60" s="15" t="n">
        <f aca="false">N58*$D$37/1000-N59</f>
        <v>11.4373355339272</v>
      </c>
      <c r="O60" s="15" t="n">
        <f aca="false">O58*$D$37/1000-O59</f>
        <v>11.4373355339272</v>
      </c>
      <c r="P60" s="15" t="n">
        <f aca="false">P58*$D$37/1000-P59</f>
        <v>11.2594182752979</v>
      </c>
      <c r="Q60" s="15" t="n">
        <f aca="false">Q58*$D$37/1000-Q59</f>
        <v>11.2594182752979</v>
      </c>
      <c r="R60" s="15" t="n">
        <f aca="false">R58*$D$37/1000-R59</f>
        <v>11.2594182752979</v>
      </c>
      <c r="S60" s="15" t="n">
        <f aca="false">S58*$D$37/1000-S59</f>
        <v>11.2594182752979</v>
      </c>
      <c r="T60" s="15" t="n">
        <f aca="false">T58*$D$37/1000-T59</f>
        <v>11.2594182752979</v>
      </c>
      <c r="U60" s="15" t="n">
        <f aca="false">U58*$D$37/1000-U59</f>
        <v>11.2594182752979</v>
      </c>
      <c r="V60" s="15" t="n">
        <f aca="false">V58*$D$37/1000-V59</f>
        <v>10.4669159352489</v>
      </c>
      <c r="W60" s="15" t="n">
        <f aca="false">W58*$D$37/1000-W59</f>
        <v>9.72928511306861</v>
      </c>
      <c r="X60" s="15" t="n">
        <f aca="false">X58*$D$37/1000-X59</f>
        <v>9.04272659792673</v>
      </c>
      <c r="Y60" s="15" t="n">
        <f aca="false">Y58*$D$37/1000-Y59</f>
        <v>8.40370422990726</v>
      </c>
      <c r="Z60" s="15" t="n">
        <f aca="false">Z58*$D$37/1000-Z59</f>
        <v>7.80892668680911</v>
      </c>
      <c r="AA60" s="15" t="n">
        <f aca="false">AA58*$D$37/1000-AA59</f>
        <v>7.25533053199799</v>
      </c>
      <c r="AB60" s="15" t="n">
        <f aca="false">AB58*$D$37/1000-AB59</f>
        <v>6.74006443599631</v>
      </c>
      <c r="AC60" s="15" t="n">
        <f aca="false">AC58*$D$37/1000-AC59</f>
        <v>6.26047449054337</v>
      </c>
      <c r="AD60" s="15" t="n">
        <f aca="false">AD58*$D$37/1000-AD59</f>
        <v>5.81409053948521</v>
      </c>
      <c r="AE60" s="15" t="n">
        <f aca="false">AE58*$D$37/1000-AE59</f>
        <v>5.39861345609033</v>
      </c>
      <c r="AF60" s="15" t="n">
        <f aca="false">AF58*$D$37/1000-AF59</f>
        <v>5.01190330126259</v>
      </c>
      <c r="AG60" s="15" t="n">
        <f aca="false">AG58*$D$37/1000-AG59</f>
        <v>4.65196830165935</v>
      </c>
      <c r="AH60" s="15" t="n">
        <f aca="false">AH58*$D$37/1000-AH59</f>
        <v>4.31695459094597</v>
      </c>
      <c r="AI60" s="15" t="n">
        <f aca="false">AI58*$D$37/1000-AI59</f>
        <v>4.00513666134851</v>
      </c>
      <c r="AJ60" s="15" t="n">
        <f aca="false">AJ58*$D$37/1000-AJ59</f>
        <v>3.71490847632466</v>
      </c>
      <c r="AK60" s="15" t="n">
        <f aca="false">AK58*$D$37/1000-AK59</f>
        <v>3.44477519857833</v>
      </c>
      <c r="AL60" s="15" t="n">
        <f aca="false">AL58*$D$37/1000-AL59</f>
        <v>3.19334549081242</v>
      </c>
      <c r="AM60" s="15" t="n">
        <f aca="false">AM58*$D$37/1000-AM59</f>
        <v>2.95932434956445</v>
      </c>
      <c r="AN60" s="15" t="n">
        <f aca="false">AN58*$D$37/1000-AN59</f>
        <v>2.74150643521524</v>
      </c>
      <c r="AO60" s="15" t="n">
        <f aca="false">AO58*$D$37/1000-AO59</f>
        <v>2.53876986381647</v>
      </c>
      <c r="AP60" s="15" t="n">
        <f aca="false">AP58*$D$37/1000-AP59</f>
        <v>2.3500704287616</v>
      </c>
      <c r="AQ60" s="15" t="n">
        <f aca="false">AQ58*$D$37/1000-AQ59</f>
        <v>2.17443622253844</v>
      </c>
      <c r="AR60" s="15" t="n">
        <f aca="false">AR58*$D$37/1000-AR59</f>
        <v>2.01096263086249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11.0223042147035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0.173604851646359</v>
      </c>
      <c r="J61" s="54" t="n">
        <f aca="false">J58*$D$34/1000</f>
        <v>0.347209703292719</v>
      </c>
      <c r="K61" s="54" t="n">
        <f aca="false">K58*$D$34/1000</f>
        <v>0.486093584609806</v>
      </c>
      <c r="L61" s="54" t="n">
        <f aca="false">L58*$D$34/1000</f>
        <v>0.486093584609806</v>
      </c>
      <c r="M61" s="54" t="n">
        <f aca="false">M58*$D$34/1000</f>
        <v>0.486093584609806</v>
      </c>
      <c r="N61" s="54" t="n">
        <f aca="false">N58*$D$34/1000</f>
        <v>0.486093584609806</v>
      </c>
      <c r="O61" s="54" t="n">
        <f aca="false">O58*$D$34/1000</f>
        <v>0.486093584609806</v>
      </c>
      <c r="P61" s="54" t="n">
        <f aca="false">P58*$D$34/1000</f>
        <v>0.478653376682105</v>
      </c>
      <c r="Q61" s="54" t="n">
        <f aca="false">Q58*$D$34/1000</f>
        <v>0.478653376682105</v>
      </c>
      <c r="R61" s="54" t="n">
        <f aca="false">R58*$D$34/1000</f>
        <v>0.478653376682105</v>
      </c>
      <c r="S61" s="54" t="n">
        <f aca="false">S58*$D$34/1000</f>
        <v>0.478653376682105</v>
      </c>
      <c r="T61" s="54" t="n">
        <f aca="false">T58*$D$34/1000</f>
        <v>0.478653376682105</v>
      </c>
      <c r="U61" s="54" t="n">
        <f aca="false">U58*$D$34/1000</f>
        <v>0.478653376682105</v>
      </c>
      <c r="V61" s="54" t="n">
        <f aca="false">V58*$D$34/1000</f>
        <v>0.445512228720521</v>
      </c>
      <c r="W61" s="54" t="n">
        <f aca="false">W58*$D$34/1000</f>
        <v>0.41466571763338</v>
      </c>
      <c r="X61" s="54" t="n">
        <f aca="false">X58*$D$34/1000</f>
        <v>0.38595496665541</v>
      </c>
      <c r="Y61" s="54" t="n">
        <f aca="false">Y58*$D$34/1000</f>
        <v>0.359232099379097</v>
      </c>
      <c r="Z61" s="54" t="n">
        <f aca="false">Z58*$D$34/1000</f>
        <v>0.334359478108569</v>
      </c>
      <c r="AA61" s="54" t="n">
        <f aca="false">AA58*$D$34/1000</f>
        <v>0.311208994948573</v>
      </c>
      <c r="AB61" s="54" t="n">
        <f aca="false">AB58*$D$34/1000</f>
        <v>0.28966141197724</v>
      </c>
      <c r="AC61" s="54" t="n">
        <f aca="false">AC58*$D$34/1000</f>
        <v>0.269605747104171</v>
      </c>
      <c r="AD61" s="54" t="n">
        <f aca="false">AD58*$D$34/1000</f>
        <v>0.250938702450672</v>
      </c>
      <c r="AE61" s="54" t="n">
        <f aca="false">AE58*$D$34/1000</f>
        <v>0.233564132307968</v>
      </c>
      <c r="AF61" s="54" t="n">
        <f aca="false">AF58*$D$34/1000</f>
        <v>0.217392547933084</v>
      </c>
      <c r="AG61" s="54" t="n">
        <f aca="false">AG58*$D$34/1000</f>
        <v>0.202340656631833</v>
      </c>
      <c r="AH61" s="54" t="n">
        <f aca="false">AH58*$D$34/1000</f>
        <v>0.188330932754896</v>
      </c>
      <c r="AI61" s="54" t="n">
        <f aca="false">AI58*$D$34/1000</f>
        <v>0.175291218397426</v>
      </c>
      <c r="AJ61" s="54" t="n">
        <f aca="false">AJ58*$D$34/1000</f>
        <v>0.163154351745519</v>
      </c>
      <c r="AK61" s="54" t="n">
        <f aca="false">AK58*$D$34/1000</f>
        <v>0.151857821155356</v>
      </c>
      <c r="AL61" s="54" t="n">
        <f aca="false">AL58*$D$34/1000</f>
        <v>0.141343443183306</v>
      </c>
      <c r="AM61" s="54" t="n">
        <f aca="false">AM58*$D$34/1000</f>
        <v>0.131557062908695</v>
      </c>
      <c r="AN61" s="54" t="n">
        <f aca="false">AN58*$D$34/1000</f>
        <v>0.122448275005703</v>
      </c>
      <c r="AO61" s="54" t="n">
        <f aca="false">AO58*$D$34/1000</f>
        <v>0.113970164127776</v>
      </c>
      <c r="AP61" s="54" t="n">
        <f aca="false">AP58*$D$34/1000</f>
        <v>0.106079063267386</v>
      </c>
      <c r="AQ61" s="54" t="n">
        <f aca="false">AQ58*$D$34/1000</f>
        <v>0.0987343288465414</v>
      </c>
      <c r="AR61" s="54" t="n">
        <f aca="false">AR58*$D$34/1000</f>
        <v>0.0918981313796547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1.36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0.04</v>
      </c>
      <c r="L64" s="54" t="n">
        <f aca="false">IF(L59&gt;0,Исходные!$C$39/1000,0)</f>
        <v>0.04</v>
      </c>
      <c r="M64" s="54" t="n">
        <f aca="false">IF(M59&gt;0,Исходные!$C$39/1000,0)</f>
        <v>0.04</v>
      </c>
      <c r="N64" s="54" t="n">
        <f aca="false">IF(N59&gt;0,Исходные!$C$39/1000,0)</f>
        <v>0.04</v>
      </c>
      <c r="O64" s="54" t="n">
        <f aca="false">IF(O59&gt;0,Исходные!$C$39/1000,0)</f>
        <v>0.04</v>
      </c>
      <c r="P64" s="54" t="n">
        <f aca="false">IF(P59&gt;0,Исходные!$C$39/1000,0)</f>
        <v>0.04</v>
      </c>
      <c r="Q64" s="54" t="n">
        <f aca="false">IF(Q59&gt;0,Исходные!$C$39/1000,0)</f>
        <v>0.04</v>
      </c>
      <c r="R64" s="54" t="n">
        <f aca="false">IF(R59&gt;0,Исходные!$C$39/1000,0)</f>
        <v>0.04</v>
      </c>
      <c r="S64" s="54" t="n">
        <f aca="false">IF(S59&gt;0,Исходные!$C$39/1000,0)</f>
        <v>0.04</v>
      </c>
      <c r="T64" s="54" t="n">
        <f aca="false">IF(T59&gt;0,Исходные!$C$39/1000,0)</f>
        <v>0.04</v>
      </c>
      <c r="U64" s="54" t="n">
        <f aca="false">IF(U59&gt;0,Исходные!$C$39/1000,0)</f>
        <v>0.04</v>
      </c>
      <c r="V64" s="54" t="n">
        <f aca="false">IF(V59&gt;0,Исходные!$C$39/1000,0)</f>
        <v>0.04</v>
      </c>
      <c r="W64" s="54" t="n">
        <f aca="false">IF(W59&gt;0,Исходные!$C$39/1000,0)</f>
        <v>0.04</v>
      </c>
      <c r="X64" s="54" t="n">
        <f aca="false">IF(X59&gt;0,Исходные!$C$39/1000,0)</f>
        <v>0.04</v>
      </c>
      <c r="Y64" s="54" t="n">
        <f aca="false">IF(Y59&gt;0,Исходные!$C$39/1000,0)</f>
        <v>0.04</v>
      </c>
      <c r="Z64" s="54" t="n">
        <f aca="false">IF(Z59&gt;0,Исходные!$C$39/1000,0)</f>
        <v>0.04</v>
      </c>
      <c r="AA64" s="54" t="n">
        <f aca="false">IF(AA59&gt;0,Исходные!$C$39/1000,0)</f>
        <v>0.04</v>
      </c>
      <c r="AB64" s="54" t="n">
        <f aca="false">IF(AB59&gt;0,Исходные!$C$39/1000,0)</f>
        <v>0.04</v>
      </c>
      <c r="AC64" s="54" t="n">
        <f aca="false">IF(AC59&gt;0,Исходные!$C$39/1000,0)</f>
        <v>0.04</v>
      </c>
      <c r="AD64" s="54" t="n">
        <f aca="false">IF(AD59&gt;0,Исходные!$C$39/1000,0)</f>
        <v>0.04</v>
      </c>
      <c r="AE64" s="54" t="n">
        <f aca="false">IF(AE59&gt;0,Исходные!$C$39/1000,0)</f>
        <v>0.04</v>
      </c>
      <c r="AF64" s="54" t="n">
        <f aca="false">IF(AF59&gt;0,Исходные!$C$39/1000,0)</f>
        <v>0.04</v>
      </c>
      <c r="AG64" s="54" t="n">
        <f aca="false">IF(AG59&gt;0,Исходные!$C$39/1000,0)</f>
        <v>0.04</v>
      </c>
      <c r="AH64" s="54" t="n">
        <f aca="false">IF(AH59&gt;0,Исходные!$C$39/1000,0)</f>
        <v>0.04</v>
      </c>
      <c r="AI64" s="54" t="n">
        <f aca="false">IF(AI59&gt;0,Исходные!$C$39/1000,0)</f>
        <v>0.04</v>
      </c>
      <c r="AJ64" s="54" t="n">
        <f aca="false">IF(AJ59&gt;0,Исходные!$C$39/1000,0)</f>
        <v>0.04</v>
      </c>
      <c r="AK64" s="54" t="n">
        <f aca="false">IF(AK59&gt;0,Исходные!$C$39/1000,0)</f>
        <v>0.04</v>
      </c>
      <c r="AL64" s="54" t="n">
        <f aca="false">IF(AL59&gt;0,Исходные!$C$39/1000,0)</f>
        <v>0.04</v>
      </c>
      <c r="AM64" s="54" t="n">
        <f aca="false">IF(AM59&gt;0,Исходные!$C$39/1000,0)</f>
        <v>0.04</v>
      </c>
      <c r="AN64" s="54" t="n">
        <f aca="false">IF(AN59&gt;0,Исходные!$C$39/1000,0)</f>
        <v>0.04</v>
      </c>
      <c r="AO64" s="54" t="n">
        <f aca="false">IF(AO59&gt;0,Исходные!$C$39/1000,0)</f>
        <v>0.04</v>
      </c>
      <c r="AP64" s="54" t="n">
        <f aca="false">IF(AP59&gt;0,Исходные!$C$39/1000,0)</f>
        <v>0.04</v>
      </c>
      <c r="AQ64" s="54" t="n">
        <f aca="false">IF(AQ59&gt;0,Исходные!$C$39/1000,0)</f>
        <v>0.04</v>
      </c>
      <c r="AR64" s="54" t="n">
        <f aca="false">IF(AR59&gt;0,Исходные!$C$39/1000,0)</f>
        <v>0.04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1.02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0.03</v>
      </c>
      <c r="L65" s="54" t="n">
        <f aca="false">IF(L59&gt;0,Исходные!$C$40/1000,0)</f>
        <v>0.03</v>
      </c>
      <c r="M65" s="54" t="n">
        <f aca="false">IF(M59&gt;0,Исходные!$C$40/1000,0)</f>
        <v>0.03</v>
      </c>
      <c r="N65" s="54" t="n">
        <f aca="false">IF(N59&gt;0,Исходные!$C$40/1000,0)</f>
        <v>0.03</v>
      </c>
      <c r="O65" s="54" t="n">
        <f aca="false">IF(O59&gt;0,Исходные!$C$40/1000,0)</f>
        <v>0.03</v>
      </c>
      <c r="P65" s="54" t="n">
        <f aca="false">IF(P59&gt;0,Исходные!$C$40/1000,0)</f>
        <v>0.03</v>
      </c>
      <c r="Q65" s="54" t="n">
        <f aca="false">IF(Q59&gt;0,Исходные!$C$40/1000,0)</f>
        <v>0.03</v>
      </c>
      <c r="R65" s="54" t="n">
        <f aca="false">IF(R59&gt;0,Исходные!$C$40/1000,0)</f>
        <v>0.03</v>
      </c>
      <c r="S65" s="54" t="n">
        <f aca="false">IF(S59&gt;0,Исходные!$C$40/1000,0)</f>
        <v>0.03</v>
      </c>
      <c r="T65" s="54" t="n">
        <f aca="false">IF(T59&gt;0,Исходные!$C$40/1000,0)</f>
        <v>0.03</v>
      </c>
      <c r="U65" s="54" t="n">
        <f aca="false">IF(U59&gt;0,Исходные!$C$40/1000,0)</f>
        <v>0.03</v>
      </c>
      <c r="V65" s="54" t="n">
        <f aca="false">IF(V59&gt;0,Исходные!$C$40/1000,0)</f>
        <v>0.03</v>
      </c>
      <c r="W65" s="54" t="n">
        <f aca="false">IF(W59&gt;0,Исходные!$C$40/1000,0)</f>
        <v>0.03</v>
      </c>
      <c r="X65" s="54" t="n">
        <f aca="false">IF(X59&gt;0,Исходные!$C$40/1000,0)</f>
        <v>0.03</v>
      </c>
      <c r="Y65" s="54" t="n">
        <f aca="false">IF(Y59&gt;0,Исходные!$C$40/1000,0)</f>
        <v>0.03</v>
      </c>
      <c r="Z65" s="54" t="n">
        <f aca="false">IF(Z59&gt;0,Исходные!$C$40/1000,0)</f>
        <v>0.03</v>
      </c>
      <c r="AA65" s="54" t="n">
        <f aca="false">IF(AA59&gt;0,Исходные!$C$40/1000,0)</f>
        <v>0.03</v>
      </c>
      <c r="AB65" s="54" t="n">
        <f aca="false">IF(AB59&gt;0,Исходные!$C$40/1000,0)</f>
        <v>0.03</v>
      </c>
      <c r="AC65" s="54" t="n">
        <f aca="false">IF(AC59&gt;0,Исходные!$C$40/1000,0)</f>
        <v>0.03</v>
      </c>
      <c r="AD65" s="54" t="n">
        <f aca="false">IF(AD59&gt;0,Исходные!$C$40/1000,0)</f>
        <v>0.03</v>
      </c>
      <c r="AE65" s="54" t="n">
        <f aca="false">IF(AE59&gt;0,Исходные!$C$40/1000,0)</f>
        <v>0.03</v>
      </c>
      <c r="AF65" s="54" t="n">
        <f aca="false">IF(AF59&gt;0,Исходные!$C$40/1000,0)</f>
        <v>0.03</v>
      </c>
      <c r="AG65" s="54" t="n">
        <f aca="false">IF(AG59&gt;0,Исходные!$C$40/1000,0)</f>
        <v>0.03</v>
      </c>
      <c r="AH65" s="54" t="n">
        <f aca="false">IF(AH59&gt;0,Исходные!$C$40/1000,0)</f>
        <v>0.03</v>
      </c>
      <c r="AI65" s="54" t="n">
        <f aca="false">IF(AI59&gt;0,Исходные!$C$40/1000,0)</f>
        <v>0.03</v>
      </c>
      <c r="AJ65" s="54" t="n">
        <f aca="false">IF(AJ59&gt;0,Исходные!$C$40/1000,0)</f>
        <v>0.03</v>
      </c>
      <c r="AK65" s="54" t="n">
        <f aca="false">IF(AK59&gt;0,Исходные!$C$40/1000,0)</f>
        <v>0.03</v>
      </c>
      <c r="AL65" s="54" t="n">
        <f aca="false">IF(AL59&gt;0,Исходные!$C$40/1000,0)</f>
        <v>0.03</v>
      </c>
      <c r="AM65" s="54" t="n">
        <f aca="false">IF(AM59&gt;0,Исходные!$C$40/1000,0)</f>
        <v>0.03</v>
      </c>
      <c r="AN65" s="54" t="n">
        <f aca="false">IF(AN59&gt;0,Исходные!$C$40/1000,0)</f>
        <v>0.03</v>
      </c>
      <c r="AO65" s="54" t="n">
        <f aca="false">IF(AO59&gt;0,Исходные!$C$40/1000,0)</f>
        <v>0.03</v>
      </c>
      <c r="AP65" s="54" t="n">
        <f aca="false">IF(AP59&gt;0,Исходные!$C$40/1000,0)</f>
        <v>0.03</v>
      </c>
      <c r="AQ65" s="54" t="n">
        <f aca="false">IF(AQ59&gt;0,Исходные!$C$40/1000,0)</f>
        <v>0.03</v>
      </c>
      <c r="AR65" s="54" t="n">
        <f aca="false">IF(AR59&gt;0,Исходные!$C$40/1000,0)</f>
        <v>0.03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0.221092896174863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0.00650273224043716</v>
      </c>
      <c r="L66" s="54" t="n">
        <f aca="false">IF(L59&gt;0,$D$43-L64-L65,0)</f>
        <v>0.00650273224043716</v>
      </c>
      <c r="M66" s="54" t="n">
        <f aca="false">IF(M59&gt;0,$D$43-M64-M65,0)</f>
        <v>0.00650273224043716</v>
      </c>
      <c r="N66" s="54" t="n">
        <f aca="false">IF(N59&gt;0,$D$43-N64-N65,0)</f>
        <v>0.00650273224043716</v>
      </c>
      <c r="O66" s="54" t="n">
        <f aca="false">IF(O59&gt;0,$D$43-O64-O65,0)</f>
        <v>0.00650273224043716</v>
      </c>
      <c r="P66" s="54" t="n">
        <f aca="false">IF(P59&gt;0,$D$43-P64-P65,0)</f>
        <v>0.00650273224043716</v>
      </c>
      <c r="Q66" s="54" t="n">
        <f aca="false">IF(Q59&gt;0,$D$43-Q64-Q65,0)</f>
        <v>0.00650273224043716</v>
      </c>
      <c r="R66" s="54" t="n">
        <f aca="false">IF(R59&gt;0,$D$43-R64-R65,0)</f>
        <v>0.00650273224043716</v>
      </c>
      <c r="S66" s="54" t="n">
        <f aca="false">IF(S59&gt;0,$D$43-S64-S65,0)</f>
        <v>0.00650273224043716</v>
      </c>
      <c r="T66" s="54" t="n">
        <f aca="false">IF(T59&gt;0,$D$43-T64-T65,0)</f>
        <v>0.00650273224043716</v>
      </c>
      <c r="U66" s="54" t="n">
        <f aca="false">IF(U59&gt;0,$D$43-U64-U65,0)</f>
        <v>0.00650273224043716</v>
      </c>
      <c r="V66" s="54" t="n">
        <f aca="false">IF(V59&gt;0,$D$43-V64-V65,0)</f>
        <v>0.00650273224043716</v>
      </c>
      <c r="W66" s="54" t="n">
        <f aca="false">IF(W59&gt;0,$D$43-W64-W65,0)</f>
        <v>0.00650273224043716</v>
      </c>
      <c r="X66" s="54" t="n">
        <f aca="false">IF(X59&gt;0,$D$43-X64-X65,0)</f>
        <v>0.00650273224043716</v>
      </c>
      <c r="Y66" s="54" t="n">
        <f aca="false">IF(Y59&gt;0,$D$43-Y64-Y65,0)</f>
        <v>0.00650273224043716</v>
      </c>
      <c r="Z66" s="54" t="n">
        <f aca="false">IF(Z59&gt;0,$D$43-Z64-Z65,0)</f>
        <v>0.00650273224043716</v>
      </c>
      <c r="AA66" s="54" t="n">
        <f aca="false">IF(AA59&gt;0,$D$43-AA64-AA65,0)</f>
        <v>0.00650273224043716</v>
      </c>
      <c r="AB66" s="54" t="n">
        <f aca="false">IF(AB59&gt;0,$D$43-AB64-AB65,0)</f>
        <v>0.00650273224043716</v>
      </c>
      <c r="AC66" s="54" t="n">
        <f aca="false">IF(AC59&gt;0,$D$43-AC64-AC65,0)</f>
        <v>0.00650273224043716</v>
      </c>
      <c r="AD66" s="54" t="n">
        <f aca="false">IF(AD59&gt;0,$D$43-AD64-AD65,0)</f>
        <v>0.00650273224043716</v>
      </c>
      <c r="AE66" s="54" t="n">
        <f aca="false">IF(AE59&gt;0,$D$43-AE64-AE65,0)</f>
        <v>0.00650273224043716</v>
      </c>
      <c r="AF66" s="54" t="n">
        <f aca="false">IF(AF59&gt;0,$D$43-AF64-AF65,0)</f>
        <v>0.00650273224043716</v>
      </c>
      <c r="AG66" s="54" t="n">
        <f aca="false">IF(AG59&gt;0,$D$43-AG64-AG65,0)</f>
        <v>0.00650273224043716</v>
      </c>
      <c r="AH66" s="54" t="n">
        <f aca="false">IF(AH59&gt;0,$D$43-AH64-AH65,0)</f>
        <v>0.00650273224043716</v>
      </c>
      <c r="AI66" s="54" t="n">
        <f aca="false">IF(AI59&gt;0,$D$43-AI64-AI65,0)</f>
        <v>0.00650273224043716</v>
      </c>
      <c r="AJ66" s="54" t="n">
        <f aca="false">IF(AJ59&gt;0,$D$43-AJ64-AJ65,0)</f>
        <v>0.00650273224043716</v>
      </c>
      <c r="AK66" s="54" t="n">
        <f aca="false">IF(AK59&gt;0,$D$43-AK64-AK65,0)</f>
        <v>0.00650273224043716</v>
      </c>
      <c r="AL66" s="54" t="n">
        <f aca="false">IF(AL59&gt;0,$D$43-AL64-AL65,0)</f>
        <v>0.00650273224043716</v>
      </c>
      <c r="AM66" s="54" t="n">
        <f aca="false">IF(AM59&gt;0,$D$43-AM64-AM65,0)</f>
        <v>0.00650273224043716</v>
      </c>
      <c r="AN66" s="54" t="n">
        <f aca="false">IF(AN59&gt;0,$D$43-AN64-AN65,0)</f>
        <v>0.00650273224043716</v>
      </c>
      <c r="AO66" s="54" t="n">
        <f aca="false">IF(AO59&gt;0,$D$43-AO64-AO65,0)</f>
        <v>0.00650273224043716</v>
      </c>
      <c r="AP66" s="54" t="n">
        <f aca="false">IF(AP59&gt;0,$D$43-AP64-AP65,0)</f>
        <v>0.00650273224043716</v>
      </c>
      <c r="AQ66" s="54" t="n">
        <f aca="false">IF(AQ59&gt;0,$D$43-AQ64-AQ65,0)</f>
        <v>0.00650273224043716</v>
      </c>
      <c r="AR66" s="54" t="n">
        <f aca="false">IF(AR59&gt;0,$D$43-AR64-AR65,0)</f>
        <v>0.00650273224043716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1337.96209485499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21.5930689849021</v>
      </c>
      <c r="J68" s="15" t="n">
        <f aca="false">J60*$D$39/1000</f>
        <v>43.1861379698041</v>
      </c>
      <c r="K68" s="15" t="n">
        <f aca="false">K60*$D$39/1000</f>
        <v>59.4900550378332</v>
      </c>
      <c r="L68" s="15" t="n">
        <f aca="false">L60*$D$39/1000</f>
        <v>59.4900550378332</v>
      </c>
      <c r="M68" s="15" t="n">
        <f aca="false">M60*$D$39/1000</f>
        <v>59.4900550378332</v>
      </c>
      <c r="N68" s="15" t="n">
        <f aca="false">N60*$D$39/1000</f>
        <v>59.4900550378332</v>
      </c>
      <c r="O68" s="15" t="n">
        <f aca="false">O60*$D$39/1000</f>
        <v>59.4900550378332</v>
      </c>
      <c r="P68" s="15" t="n">
        <f aca="false">P60*$D$39/1000</f>
        <v>58.5646377956231</v>
      </c>
      <c r="Q68" s="15" t="n">
        <f aca="false">Q60*$D$39/1000</f>
        <v>58.5646377956231</v>
      </c>
      <c r="R68" s="15" t="n">
        <f aca="false">R60*$D$39/1000</f>
        <v>58.5646377956231</v>
      </c>
      <c r="S68" s="15" t="n">
        <f aca="false">S60*$D$39/1000</f>
        <v>58.5646377956231</v>
      </c>
      <c r="T68" s="15" t="n">
        <f aca="false">T60*$D$39/1000</f>
        <v>58.5646377956231</v>
      </c>
      <c r="U68" s="15" t="n">
        <f aca="false">U60*$D$39/1000</f>
        <v>58.5646377956231</v>
      </c>
      <c r="V68" s="15" t="n">
        <f aca="false">V60*$D$39/1000</f>
        <v>54.4425231923337</v>
      </c>
      <c r="W68" s="15" t="n">
        <f aca="false">W60*$D$39/1000</f>
        <v>50.605816812693</v>
      </c>
      <c r="X68" s="15" t="n">
        <f aca="false">X60*$D$39/1000</f>
        <v>47.0347574753738</v>
      </c>
      <c r="Y68" s="15" t="n">
        <f aca="false">Y60*$D$39/1000</f>
        <v>43.7109522297274</v>
      </c>
      <c r="Z68" s="15" t="n">
        <f aca="false">Z60*$D$39/1000</f>
        <v>40.6172816218121</v>
      </c>
      <c r="AA68" s="15" t="n">
        <f aca="false">AA60*$D$39/1000</f>
        <v>37.7378115196406</v>
      </c>
      <c r="AB68" s="15" t="n">
        <f aca="false">AB60*$D$39/1000</f>
        <v>35.057711043499</v>
      </c>
      <c r="AC68" s="15" t="n">
        <f aca="false">AC60*$D$39/1000</f>
        <v>32.56317617863</v>
      </c>
      <c r="AD68" s="15" t="n">
        <f aca="false">AD60*$D$39/1000</f>
        <v>30.2413586768454</v>
      </c>
      <c r="AE68" s="15" t="n">
        <f aca="false">AE60*$D$39/1000</f>
        <v>28.0802998808696</v>
      </c>
      <c r="AF68" s="15" t="n">
        <f aca="false">AF60*$D$39/1000</f>
        <v>26.0688691305738</v>
      </c>
      <c r="AG68" s="15" t="n">
        <f aca="false">AG60*$D$39/1000</f>
        <v>24.1967064338581</v>
      </c>
      <c r="AH68" s="15" t="n">
        <f aca="false">AH60*$D$39/1000</f>
        <v>22.454169106904</v>
      </c>
      <c r="AI68" s="15" t="n">
        <f aca="false">AI60*$D$39/1000</f>
        <v>20.8322821089655</v>
      </c>
      <c r="AJ68" s="15" t="n">
        <f aca="false">AJ60*$D$39/1000</f>
        <v>19.3226918158956</v>
      </c>
      <c r="AK68" s="15" t="n">
        <f aca="false">AK60*$D$39/1000</f>
        <v>17.9176229943148</v>
      </c>
      <c r="AL68" s="15" t="n">
        <f aca="false">AL60*$D$39/1000</f>
        <v>16.6098387548151</v>
      </c>
      <c r="AM68" s="15" t="n">
        <f aca="false">AM60*$D$39/1000</f>
        <v>15.3926032779367</v>
      </c>
      <c r="AN68" s="15" t="n">
        <f aca="false">AN60*$D$39/1000</f>
        <v>14.2596471209347</v>
      </c>
      <c r="AO68" s="15" t="n">
        <f aca="false">AO60*$D$39/1000</f>
        <v>13.2051349266463</v>
      </c>
      <c r="AP68" s="15" t="n">
        <f aca="false">AP60*$D$39/1000</f>
        <v>12.2236353681413</v>
      </c>
      <c r="AQ68" s="15" t="n">
        <f aca="false">AQ60*$D$39/1000</f>
        <v>11.3100931743543</v>
      </c>
      <c r="AR68" s="15" t="n">
        <f aca="false">AR60*$D$39/1000</f>
        <v>10.459803092614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420.23321041619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6.48865493513433</v>
      </c>
      <c r="J69" s="15" t="n">
        <f aca="false">(J61+J66)*$D$40/1000</f>
        <v>12.9773098702687</v>
      </c>
      <c r="K69" s="15" t="n">
        <f aca="false">(K61+K66)*$D$40/1000</f>
        <v>18.4112799385947</v>
      </c>
      <c r="L69" s="15" t="n">
        <f aca="false">(L61+L66)*$D$40/1000</f>
        <v>18.4112799385947</v>
      </c>
      <c r="M69" s="15" t="n">
        <f aca="false">(M61+M66)*$D$40/1000</f>
        <v>18.4112799385947</v>
      </c>
      <c r="N69" s="15" t="n">
        <f aca="false">(N61+N66)*$D$40/1000</f>
        <v>18.4112799385947</v>
      </c>
      <c r="O69" s="15" t="n">
        <f aca="false">(O61+O66)*$D$40/1000</f>
        <v>18.4112799385947</v>
      </c>
      <c r="P69" s="15" t="n">
        <f aca="false">(P61+P66)*$D$40/1000</f>
        <v>18.1331947270889</v>
      </c>
      <c r="Q69" s="15" t="n">
        <f aca="false">(Q61+Q66)*$D$40/1000</f>
        <v>18.1331947270889</v>
      </c>
      <c r="R69" s="15" t="n">
        <f aca="false">(R61+R66)*$D$40/1000</f>
        <v>18.1331947270889</v>
      </c>
      <c r="S69" s="15" t="n">
        <f aca="false">(S61+S66)*$D$40/1000</f>
        <v>18.1331947270889</v>
      </c>
      <c r="T69" s="15" t="n">
        <f aca="false">(T61+T66)*$D$40/1000</f>
        <v>18.1331947270889</v>
      </c>
      <c r="U69" s="15" t="n">
        <f aca="false">(U61+U66)*$D$40/1000</f>
        <v>18.1331947270889</v>
      </c>
      <c r="V69" s="15" t="n">
        <f aca="false">(V61+V66)*$D$40/1000</f>
        <v>16.8945111808768</v>
      </c>
      <c r="W69" s="15" t="n">
        <f aca="false">(W61+W66)*$D$40/1000</f>
        <v>15.7415919824838</v>
      </c>
      <c r="X69" s="15" t="n">
        <f aca="false">(X61+X66)*$D$40/1000</f>
        <v>14.6684989539312</v>
      </c>
      <c r="Y69" s="15" t="n">
        <f aca="false">(Y61+Y66)*$D$40/1000</f>
        <v>13.6697050666117</v>
      </c>
      <c r="Z69" s="15" t="n">
        <f aca="false">(Z61+Z66)*$D$40/1000</f>
        <v>12.7400659740045</v>
      </c>
      <c r="AA69" s="15" t="n">
        <f aca="false">(AA61+AA66)*$D$40/1000</f>
        <v>11.8747935154165</v>
      </c>
      <c r="AB69" s="15" t="n">
        <f aca="false">(AB61+AB66)*$D$40/1000</f>
        <v>11.0694310542799</v>
      </c>
      <c r="AC69" s="15" t="n">
        <f aca="false">(AC61+AC66)*$D$40/1000</f>
        <v>10.3198305239841</v>
      </c>
      <c r="AD69" s="15" t="n">
        <f aca="false">(AD61+AD66)*$D$40/1000</f>
        <v>9.62213106301491</v>
      </c>
      <c r="AE69" s="15" t="n">
        <f aca="false">(AE61+AE66)*$D$40/1000</f>
        <v>8.97273912936118</v>
      </c>
      <c r="AF69" s="15" t="n">
        <f aca="false">(AF61+AF66)*$D$40/1000</f>
        <v>8.36830999176554</v>
      </c>
      <c r="AG69" s="15" t="n">
        <f aca="false">(AG61+AG66)*$D$40/1000</f>
        <v>7.80573050248996</v>
      </c>
      <c r="AH69" s="15" t="n">
        <f aca="false">(AH61+AH66)*$D$40/1000</f>
        <v>7.28210306286557</v>
      </c>
      <c r="AI69" s="15" t="n">
        <f aca="false">(AI61+AI66)*$D$40/1000</f>
        <v>6.79473069904077</v>
      </c>
      <c r="AJ69" s="15" t="n">
        <f aca="false">(AJ61+AJ66)*$D$40/1000</f>
        <v>6.34110317105911</v>
      </c>
      <c r="AK69" s="15" t="n">
        <f aca="false">(AK61+AK66)*$D$40/1000</f>
        <v>5.91888404372115</v>
      </c>
      <c r="AL69" s="15" t="n">
        <f aca="false">(AL61+AL66)*$D$40/1000</f>
        <v>5.52589865263783</v>
      </c>
      <c r="AM69" s="15" t="n">
        <f aca="false">(AM61+AM66)*$D$40/1000</f>
        <v>5.16012290349397</v>
      </c>
      <c r="AN69" s="15" t="n">
        <f aca="false">(AN61+AN66)*$D$40/1000</f>
        <v>4.81967284683172</v>
      </c>
      <c r="AO69" s="15" t="n">
        <f aca="false">(AO61+AO66)*$D$40/1000</f>
        <v>4.50279497465834</v>
      </c>
      <c r="AP69" s="15" t="n">
        <f aca="false">(AP61+AP66)*$D$40/1000</f>
        <v>4.20785718890041</v>
      </c>
      <c r="AQ69" s="15" t="n">
        <f aca="false">(AQ61+AQ66)*$D$40/1000</f>
        <v>3.93334039518691</v>
      </c>
      <c r="AR69" s="15" t="n">
        <f aca="false">(AR61+AR66)*$D$40/1000</f>
        <v>3.67783067866456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76.296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2.244</v>
      </c>
      <c r="L71" s="15" t="n">
        <f aca="false">L64*$D$23/1000</f>
        <v>2.244</v>
      </c>
      <c r="M71" s="15" t="n">
        <f aca="false">M64*$D$23/1000</f>
        <v>2.244</v>
      </c>
      <c r="N71" s="15" t="n">
        <f aca="false">N64*$D$23/1000</f>
        <v>2.244</v>
      </c>
      <c r="O71" s="15" t="n">
        <f aca="false">O64*$D$23/1000</f>
        <v>2.244</v>
      </c>
      <c r="P71" s="15" t="n">
        <f aca="false">P64*$D$23/1000</f>
        <v>2.244</v>
      </c>
      <c r="Q71" s="15" t="n">
        <f aca="false">Q64*$D$23/1000</f>
        <v>2.244</v>
      </c>
      <c r="R71" s="15" t="n">
        <f aca="false">R64*$D$23/1000</f>
        <v>2.244</v>
      </c>
      <c r="S71" s="15" t="n">
        <f aca="false">S64*$D$23/1000</f>
        <v>2.244</v>
      </c>
      <c r="T71" s="15" t="n">
        <f aca="false">T64*$D$23/1000</f>
        <v>2.244</v>
      </c>
      <c r="U71" s="15" t="n">
        <f aca="false">U64*$D$23/1000</f>
        <v>2.244</v>
      </c>
      <c r="V71" s="15" t="n">
        <f aca="false">V64*$D$23/1000</f>
        <v>2.244</v>
      </c>
      <c r="W71" s="15" t="n">
        <f aca="false">W64*$D$23/1000</f>
        <v>2.244</v>
      </c>
      <c r="X71" s="15" t="n">
        <f aca="false">X64*$D$23/1000</f>
        <v>2.244</v>
      </c>
      <c r="Y71" s="15" t="n">
        <f aca="false">Y64*$D$23/1000</f>
        <v>2.244</v>
      </c>
      <c r="Z71" s="15" t="n">
        <f aca="false">Z64*$D$23/1000</f>
        <v>2.244</v>
      </c>
      <c r="AA71" s="15" t="n">
        <f aca="false">AA64*$D$23/1000</f>
        <v>2.244</v>
      </c>
      <c r="AB71" s="15" t="n">
        <f aca="false">AB64*$D$23/1000</f>
        <v>2.244</v>
      </c>
      <c r="AC71" s="15" t="n">
        <f aca="false">AC64*$D$23/1000</f>
        <v>2.244</v>
      </c>
      <c r="AD71" s="15" t="n">
        <f aca="false">AD64*$D$23/1000</f>
        <v>2.244</v>
      </c>
      <c r="AE71" s="15" t="n">
        <f aca="false">AE64*$D$23/1000</f>
        <v>2.244</v>
      </c>
      <c r="AF71" s="15" t="n">
        <f aca="false">AF64*$D$23/1000</f>
        <v>2.244</v>
      </c>
      <c r="AG71" s="15" t="n">
        <f aca="false">AG64*$D$23/1000</f>
        <v>2.244</v>
      </c>
      <c r="AH71" s="15" t="n">
        <f aca="false">AH64*$D$23/1000</f>
        <v>2.244</v>
      </c>
      <c r="AI71" s="15" t="n">
        <f aca="false">AI64*$D$23/1000</f>
        <v>2.244</v>
      </c>
      <c r="AJ71" s="15" t="n">
        <f aca="false">AJ64*$D$23/1000</f>
        <v>2.244</v>
      </c>
      <c r="AK71" s="15" t="n">
        <f aca="false">AK64*$D$23/1000</f>
        <v>2.244</v>
      </c>
      <c r="AL71" s="15" t="n">
        <f aca="false">AL64*$D$23/1000</f>
        <v>2.244</v>
      </c>
      <c r="AM71" s="15" t="n">
        <f aca="false">AM64*$D$23/1000</f>
        <v>2.244</v>
      </c>
      <c r="AN71" s="15" t="n">
        <f aca="false">AN64*$D$23/1000</f>
        <v>2.244</v>
      </c>
      <c r="AO71" s="15" t="n">
        <f aca="false">AO64*$D$23/1000</f>
        <v>2.244</v>
      </c>
      <c r="AP71" s="15" t="n">
        <f aca="false">AP64*$D$23/1000</f>
        <v>2.244</v>
      </c>
      <c r="AQ71" s="15" t="n">
        <f aca="false">AQ64*$D$23/1000</f>
        <v>2.244</v>
      </c>
      <c r="AR71" s="15" t="n">
        <f aca="false">AR64*$D$23/1000</f>
        <v>2.244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65.79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1.935</v>
      </c>
      <c r="L72" s="15" t="n">
        <f aca="false">L65*$D$24/1000</f>
        <v>1.935</v>
      </c>
      <c r="M72" s="15" t="n">
        <f aca="false">M65*$D$24/1000</f>
        <v>1.935</v>
      </c>
      <c r="N72" s="15" t="n">
        <f aca="false">N65*$D$24/1000</f>
        <v>1.935</v>
      </c>
      <c r="O72" s="15" t="n">
        <f aca="false">O65*$D$24/1000</f>
        <v>1.935</v>
      </c>
      <c r="P72" s="15" t="n">
        <f aca="false">P65*$D$24/1000</f>
        <v>1.935</v>
      </c>
      <c r="Q72" s="15" t="n">
        <f aca="false">Q65*$D$24/1000</f>
        <v>1.935</v>
      </c>
      <c r="R72" s="15" t="n">
        <f aca="false">R65*$D$24/1000</f>
        <v>1.935</v>
      </c>
      <c r="S72" s="15" t="n">
        <f aca="false">S65*$D$24/1000</f>
        <v>1.935</v>
      </c>
      <c r="T72" s="15" t="n">
        <f aca="false">T65*$D$24/1000</f>
        <v>1.935</v>
      </c>
      <c r="U72" s="15" t="n">
        <f aca="false">U65*$D$24/1000</f>
        <v>1.935</v>
      </c>
      <c r="V72" s="15" t="n">
        <f aca="false">V65*$D$24/1000</f>
        <v>1.935</v>
      </c>
      <c r="W72" s="15" t="n">
        <f aca="false">W65*$D$24/1000</f>
        <v>1.935</v>
      </c>
      <c r="X72" s="15" t="n">
        <f aca="false">X65*$D$24/1000</f>
        <v>1.935</v>
      </c>
      <c r="Y72" s="15" t="n">
        <f aca="false">Y65*$D$24/1000</f>
        <v>1.935</v>
      </c>
      <c r="Z72" s="15" t="n">
        <f aca="false">Z65*$D$24/1000</f>
        <v>1.935</v>
      </c>
      <c r="AA72" s="15" t="n">
        <f aca="false">AA65*$D$24/1000</f>
        <v>1.935</v>
      </c>
      <c r="AB72" s="15" t="n">
        <f aca="false">AB65*$D$24/1000</f>
        <v>1.935</v>
      </c>
      <c r="AC72" s="15" t="n">
        <f aca="false">AC65*$D$24/1000</f>
        <v>1.935</v>
      </c>
      <c r="AD72" s="15" t="n">
        <f aca="false">AD65*$D$24/1000</f>
        <v>1.935</v>
      </c>
      <c r="AE72" s="15" t="n">
        <f aca="false">AE65*$D$24/1000</f>
        <v>1.935</v>
      </c>
      <c r="AF72" s="15" t="n">
        <f aca="false">AF65*$D$24/1000</f>
        <v>1.935</v>
      </c>
      <c r="AG72" s="15" t="n">
        <f aca="false">AG65*$D$24/1000</f>
        <v>1.935</v>
      </c>
      <c r="AH72" s="15" t="n">
        <f aca="false">AH65*$D$24/1000</f>
        <v>1.935</v>
      </c>
      <c r="AI72" s="15" t="n">
        <f aca="false">AI65*$D$24/1000</f>
        <v>1.935</v>
      </c>
      <c r="AJ72" s="15" t="n">
        <f aca="false">AJ65*$D$24/1000</f>
        <v>1.935</v>
      </c>
      <c r="AK72" s="15" t="n">
        <f aca="false">AK65*$D$24/1000</f>
        <v>1.935</v>
      </c>
      <c r="AL72" s="15" t="n">
        <f aca="false">AL65*$D$24/1000</f>
        <v>1.935</v>
      </c>
      <c r="AM72" s="15" t="n">
        <f aca="false">AM65*$D$24/1000</f>
        <v>1.935</v>
      </c>
      <c r="AN72" s="15" t="n">
        <f aca="false">AN65*$D$24/1000</f>
        <v>1.935</v>
      </c>
      <c r="AO72" s="15" t="n">
        <f aca="false">AO65*$D$24/1000</f>
        <v>1.935</v>
      </c>
      <c r="AP72" s="15" t="n">
        <f aca="false">AP65*$D$24/1000</f>
        <v>1.935</v>
      </c>
      <c r="AQ72" s="15" t="n">
        <f aca="false">AQ65*$D$24/1000</f>
        <v>1.935</v>
      </c>
      <c r="AR72" s="15" t="n">
        <f aca="false">AR65*$D$24/1000</f>
        <v>1.935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1900.28130527118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28.0817239200364</v>
      </c>
      <c r="J73" s="15" t="n">
        <f aca="false">SUM(J68:J72)</f>
        <v>56.1634478400728</v>
      </c>
      <c r="K73" s="15" t="n">
        <f aca="false">SUM(K68:K72)</f>
        <v>82.0803349764279</v>
      </c>
      <c r="L73" s="15" t="n">
        <f aca="false">SUM(L68:L72)</f>
        <v>82.0803349764279</v>
      </c>
      <c r="M73" s="15" t="n">
        <f aca="false">SUM(M68:M72)</f>
        <v>82.0803349764279</v>
      </c>
      <c r="N73" s="15" t="n">
        <f aca="false">SUM(N68:N72)</f>
        <v>82.0803349764279</v>
      </c>
      <c r="O73" s="15" t="n">
        <f aca="false">SUM(O68:O72)</f>
        <v>82.0803349764279</v>
      </c>
      <c r="P73" s="15" t="n">
        <f aca="false">SUM(P68:P72)</f>
        <v>80.876832522712</v>
      </c>
      <c r="Q73" s="15" t="n">
        <f aca="false">SUM(Q68:Q72)</f>
        <v>80.876832522712</v>
      </c>
      <c r="R73" s="15" t="n">
        <f aca="false">SUM(R68:R72)</f>
        <v>80.876832522712</v>
      </c>
      <c r="S73" s="15" t="n">
        <f aca="false">SUM(S68:S72)</f>
        <v>80.876832522712</v>
      </c>
      <c r="T73" s="15" t="n">
        <f aca="false">SUM(T68:T72)</f>
        <v>80.876832522712</v>
      </c>
      <c r="U73" s="15" t="n">
        <f aca="false">SUM(U68:U72)</f>
        <v>80.876832522712</v>
      </c>
      <c r="V73" s="15" t="n">
        <f aca="false">SUM(V68:V72)</f>
        <v>75.5160343732105</v>
      </c>
      <c r="W73" s="15" t="n">
        <f aca="false">SUM(W68:W72)</f>
        <v>70.5264087951768</v>
      </c>
      <c r="X73" s="15" t="n">
        <f aca="false">SUM(X68:X72)</f>
        <v>65.882256429305</v>
      </c>
      <c r="Y73" s="15" t="n">
        <f aca="false">SUM(Y68:Y72)</f>
        <v>61.5596572963391</v>
      </c>
      <c r="Z73" s="15" t="n">
        <f aca="false">SUM(Z68:Z72)</f>
        <v>57.5363475958166</v>
      </c>
      <c r="AA73" s="15" t="n">
        <f aca="false">SUM(AA68:AA72)</f>
        <v>53.7916050350571</v>
      </c>
      <c r="AB73" s="15" t="n">
        <f aca="false">SUM(AB68:AB72)</f>
        <v>50.3061420977789</v>
      </c>
      <c r="AC73" s="15" t="n">
        <f aca="false">SUM(AC68:AC72)</f>
        <v>47.0620067026141</v>
      </c>
      <c r="AD73" s="15" t="n">
        <f aca="false">SUM(AD68:AD72)</f>
        <v>44.0424897398603</v>
      </c>
      <c r="AE73" s="15" t="n">
        <f aca="false">SUM(AE68:AE72)</f>
        <v>41.2320390102307</v>
      </c>
      <c r="AF73" s="15" t="n">
        <f aca="false">SUM(AF68:AF72)</f>
        <v>38.6161791223394</v>
      </c>
      <c r="AG73" s="15" t="n">
        <f aca="false">SUM(AG68:AG72)</f>
        <v>36.1814369363481</v>
      </c>
      <c r="AH73" s="15" t="n">
        <f aca="false">SUM(AH68:AH72)</f>
        <v>33.9152721697695</v>
      </c>
      <c r="AI73" s="15" t="n">
        <f aca="false">SUM(AI68:AI72)</f>
        <v>31.8060128080062</v>
      </c>
      <c r="AJ73" s="15" t="n">
        <f aca="false">SUM(AJ68:AJ72)</f>
        <v>29.8427949869547</v>
      </c>
      <c r="AK73" s="15" t="n">
        <f aca="false">SUM(AK68:AK72)</f>
        <v>28.015507038036</v>
      </c>
      <c r="AL73" s="15" t="n">
        <f aca="false">SUM(AL68:AL72)</f>
        <v>26.3147374074529</v>
      </c>
      <c r="AM73" s="15" t="n">
        <f aca="false">SUM(AM68:AM72)</f>
        <v>24.7317261814306</v>
      </c>
      <c r="AN73" s="15" t="n">
        <f aca="false">SUM(AN68:AN72)</f>
        <v>23.2583199677664</v>
      </c>
      <c r="AO73" s="15" t="n">
        <f aca="false">SUM(AO68:AO72)</f>
        <v>21.8869299013046</v>
      </c>
      <c r="AP73" s="15" t="n">
        <f aca="false">SUM(AP68:AP72)</f>
        <v>20.6104925570417</v>
      </c>
      <c r="AQ73" s="15" t="n">
        <f aca="false">SUM(AQ68:AQ72)</f>
        <v>19.4224335695412</v>
      </c>
      <c r="AR73" s="15" t="n">
        <f aca="false">SUM(AR68:AR72)</f>
        <v>18.3166337712786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240.233065349912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2.51943505524055</v>
      </c>
      <c r="J74" s="15" t="n">
        <f aca="false">J52*$D$37/1000*(Исходные!$C$23+Исходные!$C$24*J56)/1000+Исходные!$C$25*J56*(J69+J70)</f>
        <v>5.30713760997694</v>
      </c>
      <c r="K74" s="15" t="n">
        <f aca="false">K52*$D$37/1000*(Исходные!$C$23+Исходные!$C$24*K56)/1000+Исходные!$C$25*K56*(K69+K70)</f>
        <v>7.8180354192291</v>
      </c>
      <c r="L74" s="15" t="n">
        <f aca="false">L52*$D$37/1000*(Исходные!$C$23+Исходные!$C$24*L56)/1000+Исходные!$C$25*L56*(L69+L70)</f>
        <v>8.19601607511343</v>
      </c>
      <c r="M74" s="15" t="n">
        <f aca="false">M52*$D$37/1000*(Исходные!$C$23+Исходные!$C$24*M56)/1000+Исходные!$C$25*M56*(M69+M70)</f>
        <v>8.57399673099777</v>
      </c>
      <c r="N74" s="15" t="n">
        <f aca="false">N52*$D$37/1000*(Исходные!$C$23+Исходные!$C$24*N56)/1000+Исходные!$C$25*N56*(N69+N70)</f>
        <v>8.9519773868821</v>
      </c>
      <c r="O74" s="15" t="n">
        <f aca="false">O52*$D$37/1000*(Исходные!$C$23+Исходные!$C$24*O56)/1000+Исходные!$C$25*O56*(O69+O70)</f>
        <v>9.32995804276643</v>
      </c>
      <c r="P74" s="15" t="n">
        <f aca="false">P52*$D$37/1000*(Исходные!$C$23+Исходные!$C$24*P56)/1000+Исходные!$C$25*P56*(P69+P70)</f>
        <v>9.67990770933099</v>
      </c>
      <c r="Q74" s="15" t="n">
        <f aca="false">Q52*$D$37/1000*(Исходные!$C$23+Исходные!$C$24*Q56)/1000+Исходные!$C$25*Q56*(Q69+Q70)</f>
        <v>10.0551353216214</v>
      </c>
      <c r="R74" s="15" t="n">
        <f aca="false">R52*$D$37/1000*(Исходные!$C$23+Исходные!$C$24*R56)/1000+Исходные!$C$25*R56*(R69+R70)</f>
        <v>10.4303629339118</v>
      </c>
      <c r="S74" s="15" t="n">
        <f aca="false">S52*$D$37/1000*(Исходные!$C$23+Исходные!$C$24*S56)/1000+Исходные!$C$25*S56*(S69+S70)</f>
        <v>10.8055905462023</v>
      </c>
      <c r="T74" s="15" t="n">
        <f aca="false">T52*$D$37/1000*(Исходные!$C$23+Исходные!$C$24*T56)/1000+Исходные!$C$25*T56*(T69+T70)</f>
        <v>11.1808181584927</v>
      </c>
      <c r="U74" s="15" t="n">
        <f aca="false">U52*$D$37/1000*(Исходные!$C$23+Исходные!$C$24*U56)/1000+Исходные!$C$25*U56*(U69+U70)</f>
        <v>11.5446752370773</v>
      </c>
      <c r="V74" s="15" t="n">
        <f aca="false">V52*$D$37/1000*(Исходные!$C$23+Исходные!$C$24*V56)/1000+Исходные!$C$25*V56*(V69+V70)</f>
        <v>10.747865719657</v>
      </c>
      <c r="W74" s="15" t="n">
        <f aca="false">W52*$D$37/1000*(Исходные!$C$23+Исходные!$C$24*W56)/1000+Исходные!$C$25*W56*(W69+W70)</f>
        <v>10.0062259417611</v>
      </c>
      <c r="X74" s="15" t="n">
        <f aca="false">X52*$D$37/1000*(Исходные!$C$23+Исходные!$C$24*X56)/1000+Исходные!$C$25*X56*(X69+X70)</f>
        <v>9.31593604419786</v>
      </c>
      <c r="Y74" s="15" t="n">
        <f aca="false">Y52*$D$37/1000*(Исходные!$C$23+Исходные!$C$24*Y56)/1000+Исходные!$C$25*Y56*(Y69+Y70)</f>
        <v>8.67344064834711</v>
      </c>
      <c r="Z74" s="15" t="n">
        <f aca="false">Z52*$D$37/1000*(Исходные!$C$23+Исходные!$C$24*Z56)/1000+Исходные!$C$25*Z56*(Z69+Z70)</f>
        <v>8.07543054397414</v>
      </c>
      <c r="AA74" s="15" t="n">
        <f aca="false">AA52*$D$37/1000*(Исходные!$C$23+Исходные!$C$24*AA56)/1000+Исходные!$C$25*AA56*(AA69+AA70)</f>
        <v>7.51882564494814</v>
      </c>
      <c r="AB74" s="15" t="n">
        <f aca="false">AB52*$D$37/1000*(Исходные!$C$23+Исходные!$C$24*AB56)/1000+Исходные!$C$25*AB56*(AB69+AB70)</f>
        <v>7.00075912507791</v>
      </c>
      <c r="AC74" s="15" t="n">
        <f aca="false">AC52*$D$37/1000*(Исходные!$C$23+Исходные!$C$24*AC56)/1000+Исходные!$C$25*AC56*(AC69+AC70)</f>
        <v>6.51856265235532</v>
      </c>
      <c r="AD74" s="15" t="n">
        <f aca="false">AD52*$D$37/1000*(Исходные!$C$23+Исходные!$C$24*AD56)/1000+Исходные!$C$25*AD56*(AD69+AD70)</f>
        <v>6.06975264555473</v>
      </c>
      <c r="AE74" s="15" t="n">
        <f aca="false">AE52*$D$37/1000*(Исходные!$C$23+Исходные!$C$24*AE56)/1000+Исходные!$C$25*AE56*(AE69+AE70)</f>
        <v>5.65201748240223</v>
      </c>
      <c r="AF74" s="15" t="n">
        <f aca="false">AF52*$D$37/1000*(Исходные!$C$23+Исходные!$C$24*AF56)/1000+Исходные!$C$25*AF56*(AF69+AF70)</f>
        <v>5.26320559342937</v>
      </c>
      <c r="AG74" s="15" t="n">
        <f aca="false">AG52*$D$37/1000*(Исходные!$C$23+Исходные!$C$24*AG56)/1000+Исходные!$C$25*AG56*(AG69+AG70)</f>
        <v>4.90131438018849</v>
      </c>
      <c r="AH74" s="15" t="n">
        <f aca="false">AH52*$D$37/1000*(Исходные!$C$23+Исходные!$C$24*AH56)/1000+Исходные!$C$25*AH56*(AH69+AH70)</f>
        <v>4.56447990075182</v>
      </c>
      <c r="AI74" s="15" t="n">
        <f aca="false">AI52*$D$37/1000*(Исходные!$C$23+Исходные!$C$24*AI56)/1000+Исходные!$C$25*AI56*(AI69+AI70)</f>
        <v>4.25096726936928</v>
      </c>
      <c r="AJ74" s="15" t="n">
        <f aca="false">AJ52*$D$37/1000*(Исходные!$C$23+Исходные!$C$24*AJ56)/1000+Исходные!$C$25*AJ56*(AJ69+AJ70)</f>
        <v>3.95916172083758</v>
      </c>
      <c r="AK74" s="15" t="n">
        <f aca="false">AK52*$D$37/1000*(Исходные!$C$23+Исходные!$C$24*AK56)/1000+Исходные!$C$25*AK56*(AK69+AK70)</f>
        <v>3.68756029355733</v>
      </c>
      <c r="AL74" s="15" t="n">
        <f aca="false">AL52*$D$37/1000*(Исходные!$C$23+Исходные!$C$24*AL56)/1000+Исходные!$C$25*AL56*(AL69+AL70)</f>
        <v>3.43476408844112</v>
      </c>
      <c r="AM74" s="15" t="n">
        <f aca="false">AM52*$D$37/1000*(Исходные!$C$23+Исходные!$C$24*AM56)/1000+Исходные!$C$25*AM56*(AM69+AM70)</f>
        <v>3.19947106380167</v>
      </c>
      <c r="AN74" s="15" t="n">
        <f aca="false">AN52*$D$37/1000*(Исходные!$C$23+Исходные!$C$24*AN56)/1000+Исходные!$C$25*AN56*(AN69+AN70)</f>
        <v>2.98046932910979</v>
      </c>
      <c r="AO74" s="15" t="n">
        <f aca="false">AO52*$D$37/1000*(Исходные!$C$23+Исходные!$C$24*AO56)/1000+Исходные!$C$25*AO56*(AO69+AO70)</f>
        <v>2.776630903081</v>
      </c>
      <c r="AP74" s="15" t="n">
        <f aca="false">AP52*$D$37/1000*(Исходные!$C$23+Исходные!$C$24*AP56)/1000+Исходные!$C$25*AP56*(AP69+AP70)</f>
        <v>2.58690590394185</v>
      </c>
      <c r="AQ74" s="15" t="n">
        <f aca="false">AQ52*$D$37/1000*(Исходные!$C$23+Исходные!$C$24*AQ56)/1000+Исходные!$C$25*AQ56*(AQ69+AQ70)</f>
        <v>2.41031714195214</v>
      </c>
      <c r="AR74" s="15" t="n">
        <f aca="false">AR52*$D$37/1000*(Исходные!$C$23+Исходные!$C$24*AR56)/1000+Исходные!$C$25*AR56*(AR69+AR70)</f>
        <v>2.24595508633192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116.883116883117</v>
      </c>
      <c r="E77" s="15" t="n">
        <f aca="false">$D77*CAPEX_нормы!J$7</f>
        <v>0</v>
      </c>
      <c r="F77" s="15" t="n">
        <f aca="false">$D77*CAPEX_нормы!K$7</f>
        <v>23.3766233766234</v>
      </c>
      <c r="G77" s="15" t="n">
        <f aca="false">$D77*CAPEX_нормы!L$7</f>
        <v>35.0649350649351</v>
      </c>
      <c r="H77" s="15" t="n">
        <f aca="false">$D77*CAPEX_нормы!M$7</f>
        <v>35.0649350649351</v>
      </c>
      <c r="I77" s="15" t="n">
        <f aca="false">$D77*CAPEX_нормы!N$7</f>
        <v>9.35064935064935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3.50649350649351</v>
      </c>
      <c r="O77" s="15" t="n">
        <f aca="false">$D77*CAPEX_нормы!T$7</f>
        <v>3.50649350649351</v>
      </c>
      <c r="P77" s="15" t="n">
        <f aca="false">$D77*CAPEX_нормы!U$7</f>
        <v>3.50649350649351</v>
      </c>
      <c r="Q77" s="15" t="n">
        <f aca="false">$D77*CAPEX_нормы!V$7</f>
        <v>3.50649350649351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4.48856223950046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2.24428111975023</v>
      </c>
      <c r="H80" s="15" t="n">
        <f aca="false">$D80*CAPEX_нормы!M$10</f>
        <v>2.24428111975023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10.75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4.3</v>
      </c>
      <c r="J92" s="15" t="n">
        <f aca="false">$D92*CAPEX_нормы!O$22</f>
        <v>6.45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393.46322439532</v>
      </c>
      <c r="E93" s="15" t="n">
        <f aca="false">SUM(E76:E92)</f>
        <v>15</v>
      </c>
      <c r="F93" s="15" t="n">
        <f aca="false">SUM(F76:F92)</f>
        <v>83.1326275316185</v>
      </c>
      <c r="G93" s="15" t="n">
        <f aca="false">SUM(G76:G92)</f>
        <v>122.156302792711</v>
      </c>
      <c r="H93" s="15" t="n">
        <f aca="false">SUM(H76:H92)</f>
        <v>89.6735354340466</v>
      </c>
      <c r="I93" s="15" t="n">
        <f aca="false">SUM(I76:I92)</f>
        <v>13.6506493506494</v>
      </c>
      <c r="J93" s="15" t="n">
        <f aca="false">SUM(J76:J92)</f>
        <v>6.45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3.50649350649351</v>
      </c>
      <c r="O93" s="15" t="n">
        <f aca="false">SUM(O76:O92)</f>
        <v>16.9721667593082</v>
      </c>
      <c r="P93" s="15" t="n">
        <f aca="false">SUM(P76:P92)</f>
        <v>21.4607245102464</v>
      </c>
      <c r="Q93" s="15" t="n">
        <f aca="false">SUM(Q76:Q92)</f>
        <v>3.50649350649351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98.1326275316185</v>
      </c>
      <c r="G94" s="15" t="n">
        <f aca="false">F94+G93</f>
        <v>220.288930324329</v>
      </c>
      <c r="H94" s="15" t="n">
        <f aca="false">G94+H93</f>
        <v>309.962465758376</v>
      </c>
      <c r="I94" s="15" t="n">
        <f aca="false">H94+I93</f>
        <v>323.613115109025</v>
      </c>
      <c r="J94" s="15" t="n">
        <f aca="false">I94+J93</f>
        <v>330.063115109025</v>
      </c>
      <c r="K94" s="15" t="n">
        <f aca="false">J94+K93</f>
        <v>330.063115109025</v>
      </c>
      <c r="L94" s="15" t="n">
        <f aca="false">K94+L93</f>
        <v>330.063115109025</v>
      </c>
      <c r="M94" s="15" t="n">
        <f aca="false">L94+M93</f>
        <v>330.063115109025</v>
      </c>
      <c r="N94" s="15" t="n">
        <f aca="false">M94+N93</f>
        <v>333.569608615519</v>
      </c>
      <c r="O94" s="15" t="n">
        <f aca="false">N94+O93</f>
        <v>350.541775374827</v>
      </c>
      <c r="P94" s="15" t="n">
        <f aca="false">O94+P93</f>
        <v>372.002499885073</v>
      </c>
      <c r="Q94" s="15" t="n">
        <f aca="false">P94+Q93</f>
        <v>375.508993391567</v>
      </c>
      <c r="R94" s="15" t="n">
        <f aca="false">Q94+R93</f>
        <v>375.508993391567</v>
      </c>
      <c r="S94" s="15" t="n">
        <f aca="false">R94+S93</f>
        <v>375.508993391567</v>
      </c>
      <c r="T94" s="15" t="n">
        <f aca="false">S94+T93</f>
        <v>375.508993391567</v>
      </c>
      <c r="U94" s="15" t="n">
        <f aca="false">T94+U93</f>
        <v>375.508993391567</v>
      </c>
      <c r="V94" s="15" t="n">
        <f aca="false">U94+V93</f>
        <v>375.508993391567</v>
      </c>
      <c r="W94" s="15" t="n">
        <f aca="false">V94+W93</f>
        <v>393.46322439532</v>
      </c>
      <c r="X94" s="15" t="n">
        <f aca="false">W94+X93</f>
        <v>393.46322439532</v>
      </c>
      <c r="Y94" s="15" t="n">
        <f aca="false">X94+Y93</f>
        <v>393.46322439532</v>
      </c>
      <c r="Z94" s="15" t="n">
        <f aca="false">Y94+Z93</f>
        <v>393.46322439532</v>
      </c>
      <c r="AA94" s="15" t="n">
        <f aca="false">Z94+AA93</f>
        <v>393.46322439532</v>
      </c>
      <c r="AB94" s="15" t="n">
        <f aca="false">AA94+AB93</f>
        <v>393.46322439532</v>
      </c>
      <c r="AC94" s="15" t="n">
        <f aca="false">AB94+AC93</f>
        <v>393.46322439532</v>
      </c>
      <c r="AD94" s="15" t="n">
        <f aca="false">AC94+AD93</f>
        <v>393.46322439532</v>
      </c>
      <c r="AE94" s="15" t="n">
        <f aca="false">AD94+AE93</f>
        <v>393.46322439532</v>
      </c>
      <c r="AF94" s="15" t="n">
        <f aca="false">AE94+AF93</f>
        <v>393.46322439532</v>
      </c>
      <c r="AG94" s="15" t="n">
        <f aca="false">AF94+AG93</f>
        <v>393.46322439532</v>
      </c>
      <c r="AH94" s="15" t="n">
        <f aca="false">AG94+AH93</f>
        <v>393.46322439532</v>
      </c>
      <c r="AI94" s="15" t="n">
        <f aca="false">AH94+AI93</f>
        <v>393.46322439532</v>
      </c>
      <c r="AJ94" s="15" t="n">
        <f aca="false">AI94+AJ93</f>
        <v>393.46322439532</v>
      </c>
      <c r="AK94" s="15" t="n">
        <f aca="false">AJ94+AK93</f>
        <v>393.46322439532</v>
      </c>
      <c r="AL94" s="15" t="n">
        <f aca="false">AK94+AL93</f>
        <v>393.46322439532</v>
      </c>
      <c r="AM94" s="15" t="n">
        <f aca="false">AL94+AM93</f>
        <v>393.46322439532</v>
      </c>
      <c r="AN94" s="15" t="n">
        <f aca="false">AM94+AN93</f>
        <v>393.46322439532</v>
      </c>
      <c r="AO94" s="15" t="n">
        <f aca="false">AN94+AO93</f>
        <v>393.46322439532</v>
      </c>
      <c r="AP94" s="15" t="n">
        <f aca="false">AO94+AP93</f>
        <v>393.46322439532</v>
      </c>
      <c r="AQ94" s="15" t="n">
        <f aca="false">AP94+AQ93</f>
        <v>393.46322439532</v>
      </c>
      <c r="AR94" s="15" t="n">
        <f aca="false">AQ94+AR93</f>
        <v>393.46322439532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265.300608673588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5.5838562953157</v>
      </c>
      <c r="J97" s="15" t="n">
        <f aca="false">J96*Исходные!$C$33*J94+J52*Исходные!$C$34/1000+J62*Исходные!$C$35/1000+(J61+J62)*Исходные!$C$36/1000+IF(J59&gt;0,$D$43*Исходные!$C$41/1000,0)+J96*$D$33</f>
        <v>6.41026586399602</v>
      </c>
      <c r="K97" s="15" t="n">
        <f aca="false">K96*Исходные!$C$33*K94+K52*Исходные!$C$34/1000+K62*Исходные!$C$35/1000+(K61+K62)*Исходные!$C$36/1000+IF(K59&gt;0,$D$43*Исходные!$C$41/1000,0)+K96*$D$33</f>
        <v>7.4166711145687</v>
      </c>
      <c r="L97" s="15" t="n">
        <f aca="false">L96*Исходные!$C$33*L94+L52*Исходные!$C$34/1000+L62*Исходные!$C$35/1000+(L61+L62)*Исходные!$C$36/1000+IF(L59&gt;0,$D$43*Исходные!$C$41/1000,0)+L96*$D$33</f>
        <v>7.4166711145687</v>
      </c>
      <c r="M97" s="15" t="n">
        <f aca="false">M96*Исходные!$C$33*M94+M52*Исходные!$C$34/1000+M62*Исходные!$C$35/1000+(M61+M62)*Исходные!$C$36/1000+IF(M59&gt;0,$D$43*Исходные!$C$41/1000,0)+M96*$D$33</f>
        <v>7.4166711145687</v>
      </c>
      <c r="N97" s="15" t="n">
        <f aca="false">N96*Исходные!$C$33*N94+N52*Исходные!$C$34/1000+N62*Исходные!$C$35/1000+(N61+N62)*Исходные!$C$36/1000+IF(N59&gt;0,$D$43*Исходные!$C$41/1000,0)+N96*$D$33</f>
        <v>7.4692685171661</v>
      </c>
      <c r="O97" s="15" t="n">
        <f aca="false">O96*Исходные!$C$33*O94+O52*Исходные!$C$34/1000+O62*Исходные!$C$35/1000+(O61+O62)*Исходные!$C$36/1000+IF(O59&gt;0,$D$43*Исходные!$C$41/1000,0)+O96*$D$33</f>
        <v>7.72385101855572</v>
      </c>
      <c r="P97" s="15" t="n">
        <f aca="false">P96*Исходные!$C$33*P94+P52*Исходные!$C$34/1000+P62*Исходные!$C$35/1000+(P61+P62)*Исходные!$C$36/1000+IF(P59&gt;0,$D$43*Исходные!$C$41/1000,0)+P96*$D$33</f>
        <v>8.04204178224557</v>
      </c>
      <c r="Q97" s="15" t="n">
        <f aca="false">Q96*Исходные!$C$33*Q94+Q52*Исходные!$C$34/1000+Q62*Исходные!$C$35/1000+(Q61+Q62)*Исходные!$C$36/1000+IF(Q59&gt;0,$D$43*Исходные!$C$41/1000,0)+Q96*$D$33</f>
        <v>8.09463918484297</v>
      </c>
      <c r="R97" s="15" t="n">
        <f aca="false">R96*Исходные!$C$33*R94+R52*Исходные!$C$34/1000+R62*Исходные!$C$35/1000+(R61+R62)*Исходные!$C$36/1000+IF(R59&gt;0,$D$43*Исходные!$C$41/1000,0)+R96*$D$33</f>
        <v>8.09463918484297</v>
      </c>
      <c r="S97" s="15" t="n">
        <f aca="false">S96*Исходные!$C$33*S94+S52*Исходные!$C$34/1000+S62*Исходные!$C$35/1000+(S61+S62)*Исходные!$C$36/1000+IF(S59&gt;0,$D$43*Исходные!$C$41/1000,0)+S96*$D$33</f>
        <v>8.09463918484297</v>
      </c>
      <c r="T97" s="15" t="n">
        <f aca="false">T96*Исходные!$C$33*T94+T52*Исходные!$C$34/1000+T62*Исходные!$C$35/1000+(T61+T62)*Исходные!$C$36/1000+IF(T59&gt;0,$D$43*Исходные!$C$41/1000,0)+T96*$D$33</f>
        <v>8.09463918484297</v>
      </c>
      <c r="U97" s="15" t="n">
        <f aca="false">U96*Исходные!$C$33*U94+U52*Исходные!$C$34/1000+U62*Исходные!$C$35/1000+(U61+U62)*Исходные!$C$36/1000+IF(U59&gt;0,$D$43*Исходные!$C$41/1000,0)+U96*$D$33</f>
        <v>8.09463918484297</v>
      </c>
      <c r="V97" s="15" t="n">
        <f aca="false">V96*Исходные!$C$33*V94+V52*Исходные!$C$34/1000+V62*Исходные!$C$35/1000+(V61+V62)*Исходные!$C$36/1000+IF(V59&gt;0,$D$43*Исходные!$C$41/1000,0)+V96*$D$33</f>
        <v>7.95343966382673</v>
      </c>
      <c r="W97" s="15" t="n">
        <f aca="false">W96*Исходные!$C$33*W94+W52*Исходные!$C$34/1000+W62*Исходные!$C$35/1000+(W61+W62)*Исходные!$C$36/1000+IF(W59&gt;0,$D$43*Исходные!$C$41/1000,0)+W96*$D$33</f>
        <v>8.09133002321465</v>
      </c>
      <c r="X97" s="15" t="n">
        <f aca="false">X96*Исходные!$C$33*X94+X52*Исходные!$C$34/1000+X62*Исходные!$C$35/1000+(X61+X62)*Исходные!$C$36/1000+IF(X59&gt;0,$D$43*Исходные!$C$41/1000,0)+X96*$D$33</f>
        <v>7.96900643047716</v>
      </c>
      <c r="Y97" s="15" t="n">
        <f aca="false">Y96*Исходные!$C$33*Y94+Y52*Исходные!$C$34/1000+Y62*Исходные!$C$35/1000+(Y61+Y62)*Исходные!$C$36/1000+IF(Y59&gt;0,$D$43*Исходные!$C$41/1000,0)+Y96*$D$33</f>
        <v>7.85515231582881</v>
      </c>
      <c r="Z97" s="15" t="n">
        <f aca="false">Z96*Исходные!$C$33*Z94+Z52*Исходные!$C$34/1000+Z62*Исходные!$C$35/1000+(Z61+Z62)*Исходные!$C$36/1000+IF(Z59&gt;0,$D$43*Исходные!$C$41/1000,0)+Z96*$D$33</f>
        <v>7.74918126697173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7.65054747380093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7.55874291717734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7.47329475234545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7.39376287351862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7.31973764708843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7.2508378017827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7.18670846490551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7.12701933454448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7.07146297833143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7.01975324999391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6.97162381554205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6.92682678149971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6.88513141811461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6.84632297097114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6.81020155488521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6.77658112438384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6.74528851546707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6.71616255371657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393.46322439532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309.962465758376</v>
      </c>
      <c r="J98" s="15" t="n">
        <f aca="false">I93</f>
        <v>13.6506493506494</v>
      </c>
      <c r="K98" s="15" t="n">
        <f aca="false">J93</f>
        <v>6.45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3.50649350649351</v>
      </c>
      <c r="P98" s="15" t="n">
        <f aca="false">O93</f>
        <v>16.9721667593082</v>
      </c>
      <c r="Q98" s="15" t="n">
        <f aca="false">P93</f>
        <v>21.4607245102464</v>
      </c>
      <c r="R98" s="15" t="n">
        <f aca="false">Q93</f>
        <v>3.50649350649351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393.46322439532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20.6641643838917</v>
      </c>
      <c r="J99" s="15" t="n">
        <f aca="true">SUM(OFFSET(J98,0,-MIN(Исходные!$C$32-1,J47),1,MIN(Исходные!$C$32,J47+1)))/Исходные!$C$32</f>
        <v>21.574207673935</v>
      </c>
      <c r="K99" s="15" t="n">
        <f aca="true">SUM(OFFSET(K98,0,-MIN(Исходные!$C$32-1,K47),1,MIN(Исходные!$C$32,K47+1)))/Исходные!$C$32</f>
        <v>22.004207673935</v>
      </c>
      <c r="L99" s="15" t="n">
        <f aca="true">SUM(OFFSET(L98,0,-MIN(Исходные!$C$32-1,L47),1,MIN(Исходные!$C$32,L47+1)))/Исходные!$C$32</f>
        <v>22.004207673935</v>
      </c>
      <c r="M99" s="15" t="n">
        <f aca="true">SUM(OFFSET(M98,0,-MIN(Исходные!$C$32-1,M47),1,MIN(Исходные!$C$32,M47+1)))/Исходные!$C$32</f>
        <v>22.004207673935</v>
      </c>
      <c r="N99" s="15" t="n">
        <f aca="true">SUM(OFFSET(N98,0,-MIN(Исходные!$C$32-1,N47),1,MIN(Исходные!$C$32,N47+1)))/Исходные!$C$32</f>
        <v>22.004207673935</v>
      </c>
      <c r="O99" s="15" t="n">
        <f aca="true">SUM(OFFSET(O98,0,-MIN(Исходные!$C$32-1,O47),1,MIN(Исходные!$C$32,O47+1)))/Исходные!$C$32</f>
        <v>22.2379739077012</v>
      </c>
      <c r="P99" s="15" t="n">
        <f aca="true">SUM(OFFSET(P98,0,-MIN(Исходные!$C$32-1,P47),1,MIN(Исходные!$C$32,P47+1)))/Исходные!$C$32</f>
        <v>23.3694516916551</v>
      </c>
      <c r="Q99" s="15" t="n">
        <f aca="true">SUM(OFFSET(Q98,0,-MIN(Исходные!$C$32-1,Q47),1,MIN(Исходные!$C$32,Q47+1)))/Исходные!$C$32</f>
        <v>24.8001666590049</v>
      </c>
      <c r="R99" s="15" t="n">
        <f aca="true">SUM(OFFSET(R98,0,-MIN(Исходные!$C$32-1,R47),1,MIN(Исходные!$C$32,R47+1)))/Исходные!$C$32</f>
        <v>25.0339328927711</v>
      </c>
      <c r="S99" s="15" t="n">
        <f aca="true">SUM(OFFSET(S98,0,-MIN(Исходные!$C$32-1,S47),1,MIN(Исходные!$C$32,S47+1)))/Исходные!$C$32</f>
        <v>25.0339328927711</v>
      </c>
      <c r="T99" s="15" t="n">
        <f aca="true">SUM(OFFSET(T98,0,-MIN(Исходные!$C$32-1,T47),1,MIN(Исходные!$C$32,T47+1)))/Исходные!$C$32</f>
        <v>25.0339328927711</v>
      </c>
      <c r="U99" s="15" t="n">
        <f aca="true">SUM(OFFSET(U98,0,-MIN(Исходные!$C$32-1,U47),1,MIN(Исходные!$C$32,U47+1)))/Исходные!$C$32</f>
        <v>25.0339328927711</v>
      </c>
      <c r="V99" s="15" t="n">
        <f aca="true">SUM(OFFSET(V98,0,-MIN(Исходные!$C$32-1,V47),1,MIN(Исходные!$C$32,V47+1)))/Исходные!$C$32</f>
        <v>25.0339328927711</v>
      </c>
      <c r="W99" s="15" t="n">
        <f aca="true">SUM(OFFSET(W98,0,-MIN(Исходные!$C$32-1,W47),1,MIN(Исходные!$C$32,W47+1)))/Исходные!$C$32</f>
        <v>25.0339328927711</v>
      </c>
      <c r="X99" s="15" t="n">
        <f aca="true">SUM(OFFSET(X98,0,-MIN(Исходные!$C$32-1,X47),1,MIN(Исходные!$C$32,X47+1)))/Исходные!$C$32</f>
        <v>5.56671724246292</v>
      </c>
      <c r="Y99" s="15" t="n">
        <f aca="true">SUM(OFFSET(Y98,0,-MIN(Исходные!$C$32-1,Y47),1,MIN(Исходные!$C$32,Y47+1)))/Исходные!$C$32</f>
        <v>4.65667395241963</v>
      </c>
      <c r="Z99" s="15" t="n">
        <f aca="true">SUM(OFFSET(Z98,0,-MIN(Исходные!$C$32-1,Z47),1,MIN(Исходные!$C$32,Z47+1)))/Исходные!$C$32</f>
        <v>4.22667395241963</v>
      </c>
      <c r="AA99" s="15" t="n">
        <f aca="true">SUM(OFFSET(AA98,0,-MIN(Исходные!$C$32-1,AA47),1,MIN(Исходные!$C$32,AA47+1)))/Исходные!$C$32</f>
        <v>4.22667395241963</v>
      </c>
      <c r="AB99" s="15" t="n">
        <f aca="true">SUM(OFFSET(AB98,0,-MIN(Исходные!$C$32-1,AB47),1,MIN(Исходные!$C$32,AB47+1)))/Исходные!$C$32</f>
        <v>4.22667395241963</v>
      </c>
      <c r="AC99" s="15" t="n">
        <f aca="true">SUM(OFFSET(AC98,0,-MIN(Исходные!$C$32-1,AC47),1,MIN(Исходные!$C$32,AC47+1)))/Исходные!$C$32</f>
        <v>4.22667395241963</v>
      </c>
      <c r="AD99" s="15" t="n">
        <f aca="true">SUM(OFFSET(AD98,0,-MIN(Исходные!$C$32-1,AD47),1,MIN(Исходные!$C$32,AD47+1)))/Исходные!$C$32</f>
        <v>3.9929077186534</v>
      </c>
      <c r="AE99" s="15" t="n">
        <f aca="true">SUM(OFFSET(AE98,0,-MIN(Исходные!$C$32-1,AE47),1,MIN(Исходные!$C$32,AE47+1)))/Исходные!$C$32</f>
        <v>2.86142993469952</v>
      </c>
      <c r="AF99" s="15" t="n">
        <f aca="true">SUM(OFFSET(AF98,0,-MIN(Исходные!$C$32-1,AF47),1,MIN(Исходные!$C$32,AF47+1)))/Исходные!$C$32</f>
        <v>1.43071496734976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20.6641643838917</v>
      </c>
      <c r="J100" s="15" t="n">
        <f aca="false">I100+J99</f>
        <v>42.2383720578267</v>
      </c>
      <c r="K100" s="15" t="n">
        <f aca="false">J100+K99</f>
        <v>64.2425797317618</v>
      </c>
      <c r="L100" s="15" t="n">
        <f aca="false">K100+L99</f>
        <v>86.2467874056968</v>
      </c>
      <c r="M100" s="15" t="n">
        <f aca="false">L100+M99</f>
        <v>108.250995079632</v>
      </c>
      <c r="N100" s="15" t="n">
        <f aca="false">M100+N99</f>
        <v>130.255202753567</v>
      </c>
      <c r="O100" s="15" t="n">
        <f aca="false">N100+O99</f>
        <v>152.493176661268</v>
      </c>
      <c r="P100" s="15" t="n">
        <f aca="false">O100+P99</f>
        <v>175.862628352923</v>
      </c>
      <c r="Q100" s="15" t="n">
        <f aca="false">P100+Q99</f>
        <v>200.662795011928</v>
      </c>
      <c r="R100" s="15" t="n">
        <f aca="false">Q100+R99</f>
        <v>225.696727904699</v>
      </c>
      <c r="S100" s="15" t="n">
        <f aca="false">R100+S99</f>
        <v>250.73066079747</v>
      </c>
      <c r="T100" s="15" t="n">
        <f aca="false">S100+T99</f>
        <v>275.764593690241</v>
      </c>
      <c r="U100" s="15" t="n">
        <f aca="false">T100+U99</f>
        <v>300.798526583013</v>
      </c>
      <c r="V100" s="15" t="n">
        <f aca="false">U100+V99</f>
        <v>325.832459475784</v>
      </c>
      <c r="W100" s="15" t="n">
        <f aca="false">V100+W99</f>
        <v>350.866392368555</v>
      </c>
      <c r="X100" s="15" t="n">
        <f aca="false">W100+X99</f>
        <v>356.433109611018</v>
      </c>
      <c r="Y100" s="15" t="n">
        <f aca="false">X100+Y99</f>
        <v>361.089783563437</v>
      </c>
      <c r="Z100" s="15" t="n">
        <f aca="false">Y100+Z99</f>
        <v>365.316457515857</v>
      </c>
      <c r="AA100" s="15" t="n">
        <f aca="false">Z100+AA99</f>
        <v>369.543131468277</v>
      </c>
      <c r="AB100" s="15" t="n">
        <f aca="false">AA100+AB99</f>
        <v>373.769805420696</v>
      </c>
      <c r="AC100" s="15" t="n">
        <f aca="false">AB100+AC99</f>
        <v>377.996479373116</v>
      </c>
      <c r="AD100" s="15" t="n">
        <f aca="false">AC100+AD99</f>
        <v>381.989387091769</v>
      </c>
      <c r="AE100" s="15" t="n">
        <f aca="false">AD100+AE99</f>
        <v>384.850817026469</v>
      </c>
      <c r="AF100" s="15" t="n">
        <f aca="false">AE100+AF99</f>
        <v>386.281531993819</v>
      </c>
      <c r="AG100" s="15" t="n">
        <f aca="false">AF100+AG99</f>
        <v>387.478480727402</v>
      </c>
      <c r="AH100" s="15" t="n">
        <f aca="false">AG100+AH99</f>
        <v>388.675429460986</v>
      </c>
      <c r="AI100" s="15" t="n">
        <f aca="false">AH100+AI99</f>
        <v>389.872378194569</v>
      </c>
      <c r="AJ100" s="15" t="n">
        <f aca="false">AI100+AJ99</f>
        <v>391.069326928153</v>
      </c>
      <c r="AK100" s="15" t="n">
        <f aca="false">AJ100+AK99</f>
        <v>392.266275661736</v>
      </c>
      <c r="AL100" s="15" t="n">
        <f aca="false">AK100+AL99</f>
        <v>393.46322439532</v>
      </c>
      <c r="AM100" s="15" t="n">
        <f aca="false">AL100+AM99</f>
        <v>393.46322439532</v>
      </c>
      <c r="AN100" s="15" t="n">
        <f aca="false">AM100+AN99</f>
        <v>393.46322439532</v>
      </c>
      <c r="AO100" s="15" t="n">
        <f aca="false">AN100+AO99</f>
        <v>393.46322439532</v>
      </c>
      <c r="AP100" s="15" t="n">
        <f aca="false">AO100+AP99</f>
        <v>393.46322439532</v>
      </c>
      <c r="AQ100" s="15" t="n">
        <f aca="false">AP100+AQ99</f>
        <v>393.46322439532</v>
      </c>
      <c r="AR100" s="15" t="n">
        <f aca="false">AQ100+AR99</f>
        <v>393.46322439532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62.4303532468919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6.66487691595294</v>
      </c>
      <c r="J101" s="15" t="n">
        <f aca="false">J96*Исходные!$C$31*(J94-J100)</f>
        <v>6.33214434712637</v>
      </c>
      <c r="K101" s="15" t="n">
        <f aca="false">K96*Исходные!$C$31*(K94-K100)</f>
        <v>5.8480517782998</v>
      </c>
      <c r="L101" s="15" t="n">
        <f aca="false">L96*Исходные!$C$31*(L94-L100)</f>
        <v>5.36395920947323</v>
      </c>
      <c r="M101" s="15" t="n">
        <f aca="false">M96*Исходные!$C$31*(M94-M100)</f>
        <v>4.87986664064666</v>
      </c>
      <c r="N101" s="15" t="n">
        <f aca="false">N96*Исходные!$C$31*(N94-N100)</f>
        <v>4.47291692896294</v>
      </c>
      <c r="O101" s="15" t="n">
        <f aca="false">O96*Исходные!$C$31*(O94-O100)</f>
        <v>4.35706917169829</v>
      </c>
      <c r="P101" s="15" t="n">
        <f aca="false">P96*Исходные!$C$31*(P94-P100)</f>
        <v>4.3150771737073</v>
      </c>
      <c r="Q101" s="15" t="n">
        <f aca="false">Q96*Исходные!$C$31*(Q94-Q100)</f>
        <v>3.84661636435205</v>
      </c>
      <c r="R101" s="15" t="n">
        <f aca="false">R96*Исходные!$C$31*(R94-R100)</f>
        <v>3.29586984071109</v>
      </c>
      <c r="S101" s="15" t="n">
        <f aca="false">S96*Исходные!$C$31*(S94-S100)</f>
        <v>2.74512331707012</v>
      </c>
      <c r="T101" s="15" t="n">
        <f aca="false">T96*Исходные!$C$31*(T94-T100)</f>
        <v>2.19437679342916</v>
      </c>
      <c r="U101" s="15" t="n">
        <f aca="false">U96*Исходные!$C$31*(U94-U100)</f>
        <v>1.64363026978819</v>
      </c>
      <c r="V101" s="15" t="n">
        <f aca="false">V96*Исходные!$C$31*(V94-V100)</f>
        <v>1.09288374614723</v>
      </c>
      <c r="W101" s="15" t="n">
        <f aca="false">W96*Исходные!$C$31*(W94-W100)</f>
        <v>0.937130304588825</v>
      </c>
      <c r="X101" s="15" t="n">
        <f aca="false">X96*Исходные!$C$31*(X94-X100)</f>
        <v>0.814662525254641</v>
      </c>
      <c r="Y101" s="15" t="n">
        <f aca="false">Y96*Исходные!$C$31*(Y94-Y100)</f>
        <v>0.712215698301409</v>
      </c>
      <c r="Z101" s="15" t="n">
        <f aca="false">Z96*Исходные!$C$31*(Z94-Z100)</f>
        <v>0.619228871348178</v>
      </c>
      <c r="AA101" s="15" t="n">
        <f aca="false">AA96*Исходные!$C$31*(AA94-AA100)</f>
        <v>0.526242044394946</v>
      </c>
      <c r="AB101" s="15" t="n">
        <f aca="false">AB96*Исходные!$C$31*(AB94-AB100)</f>
        <v>0.433255217441715</v>
      </c>
      <c r="AC101" s="15" t="n">
        <f aca="false">AC96*Исходные!$C$31*(AC94-AC100)</f>
        <v>0.340268390488483</v>
      </c>
      <c r="AD101" s="15" t="n">
        <f aca="false">AD96*Исходные!$C$31*(AD94-AD100)</f>
        <v>0.252424420678109</v>
      </c>
      <c r="AE101" s="15" t="n">
        <f aca="false">AE96*Исходные!$C$31*(AE94-AE100)</f>
        <v>0.189472962114719</v>
      </c>
      <c r="AF101" s="15" t="n">
        <f aca="false">AF96*Исходные!$C$31*(AF94-AF100)</f>
        <v>0.157997232833024</v>
      </c>
      <c r="AG101" s="15" t="n">
        <f aca="false">AG96*Исходные!$C$31*(AG94-AG100)</f>
        <v>0.131664360694186</v>
      </c>
      <c r="AH101" s="15" t="n">
        <f aca="false">AH96*Исходные!$C$31*(AH94-AH100)</f>
        <v>0.105331488555348</v>
      </c>
      <c r="AI101" s="15" t="n">
        <f aca="false">AI96*Исходные!$C$31*(AI94-AI100)</f>
        <v>0.0789986164165095</v>
      </c>
      <c r="AJ101" s="15" t="n">
        <f aca="false">AJ96*Исходные!$C$31*(AJ94-AJ100)</f>
        <v>0.0526657442776714</v>
      </c>
      <c r="AK101" s="15" t="n">
        <f aca="false">AK96*Исходные!$C$31*(AK94-AK100)</f>
        <v>0.0263328721388332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1332.31727800079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13.3135556535272</v>
      </c>
      <c r="J102" s="15" t="n">
        <f aca="false">J73-J74-J97-J101</f>
        <v>38.1139000189734</v>
      </c>
      <c r="K102" s="15" t="n">
        <f aca="false">K73-K74-K97-K101</f>
        <v>60.9975766643303</v>
      </c>
      <c r="L102" s="15" t="n">
        <f aca="false">L73-L74-L97-L101</f>
        <v>61.1036885772725</v>
      </c>
      <c r="M102" s="15" t="n">
        <f aca="false">M73-M74-M97-M101</f>
        <v>61.2098004902148</v>
      </c>
      <c r="N102" s="15" t="n">
        <f aca="false">N73-N74-N97-N101</f>
        <v>61.1861721434167</v>
      </c>
      <c r="O102" s="15" t="n">
        <f aca="false">O73-O74-O97-O101</f>
        <v>60.6694567434074</v>
      </c>
      <c r="P102" s="15" t="n">
        <f aca="false">P73-P74-P97-P101</f>
        <v>58.8398058574282</v>
      </c>
      <c r="Q102" s="15" t="n">
        <f aca="false">Q73-Q74-Q97-Q101</f>
        <v>58.8804416518956</v>
      </c>
      <c r="R102" s="15" t="n">
        <f aca="false">R73-R74-R97-R101</f>
        <v>59.0559605632461</v>
      </c>
      <c r="S102" s="15" t="n">
        <f aca="false">S73-S74-S97-S101</f>
        <v>59.2314794745967</v>
      </c>
      <c r="T102" s="15" t="n">
        <f aca="false">T73-T74-T97-T101</f>
        <v>59.4069983859472</v>
      </c>
      <c r="U102" s="15" t="n">
        <f aca="false">U73-U74-U97-U101</f>
        <v>59.5938878310035</v>
      </c>
      <c r="V102" s="15" t="n">
        <f aca="false">V73-V74-V97-V101</f>
        <v>55.7218452435795</v>
      </c>
      <c r="W102" s="15" t="n">
        <f aca="false">W73-W74-W97-W101</f>
        <v>51.4917225256122</v>
      </c>
      <c r="X102" s="15" t="n">
        <f aca="false">X73-X74-X97-X101</f>
        <v>47.7826514293753</v>
      </c>
      <c r="Y102" s="15" t="n">
        <f aca="false">Y73-Y74-Y97-Y101</f>
        <v>44.3188486338618</v>
      </c>
      <c r="Z102" s="15" t="n">
        <f aca="false">Z73-Z74-Z97-Z101</f>
        <v>41.0925069135225</v>
      </c>
      <c r="AA102" s="15" t="n">
        <f aca="false">AA73-AA74-AA97-AA101</f>
        <v>38.0959898719131</v>
      </c>
      <c r="AB102" s="15" t="n">
        <f aca="false">AB73-AB74-AB97-AB101</f>
        <v>35.313384838082</v>
      </c>
      <c r="AC102" s="15" t="n">
        <f aca="false">AC73-AC74-AC97-AC101</f>
        <v>32.7298809074249</v>
      </c>
      <c r="AD102" s="15" t="n">
        <f aca="false">AD73-AD74-AD97-AD101</f>
        <v>30.3265498001088</v>
      </c>
      <c r="AE102" s="15" t="n">
        <f aca="false">AE73-AE74-AE97-AE101</f>
        <v>28.0708109186254</v>
      </c>
      <c r="AF102" s="15" t="n">
        <f aca="false">AF73-AF74-AF97-AF101</f>
        <v>25.9441384942943</v>
      </c>
      <c r="AG102" s="15" t="n">
        <f aca="false">AG73-AG74-AG97-AG101</f>
        <v>23.9617497305599</v>
      </c>
      <c r="AH102" s="15" t="n">
        <f aca="false">AH73-AH74-AH97-AH101</f>
        <v>22.1184414459179</v>
      </c>
      <c r="AI102" s="15" t="n">
        <f aca="false">AI73-AI74-AI97-AI101</f>
        <v>20.404583943889</v>
      </c>
      <c r="AJ102" s="15" t="n">
        <f aca="false">AJ73-AJ74-AJ97-AJ101</f>
        <v>18.8112142718456</v>
      </c>
      <c r="AK102" s="15" t="n">
        <f aca="false">AK73-AK74-AK97-AK101</f>
        <v>17.3299900567978</v>
      </c>
      <c r="AL102" s="15" t="n">
        <f aca="false">AL73-AL74-AL97-AL101</f>
        <v>15.9531465375121</v>
      </c>
      <c r="AM102" s="15" t="n">
        <f aca="false">AM73-AM74-AM97-AM101</f>
        <v>14.6471236995144</v>
      </c>
      <c r="AN102" s="15" t="n">
        <f aca="false">AN73-AN74-AN97-AN101</f>
        <v>13.4315276676855</v>
      </c>
      <c r="AO102" s="15" t="n">
        <f aca="false">AO73-AO74-AO97-AO101</f>
        <v>12.3000974433384</v>
      </c>
      <c r="AP102" s="15" t="n">
        <f aca="false">AP73-AP74-AP97-AP101</f>
        <v>11.2470055287161</v>
      </c>
      <c r="AQ102" s="15" t="n">
        <f aca="false">AQ73-AQ74-AQ97-AQ101</f>
        <v>10.266827912122</v>
      </c>
      <c r="AR102" s="15" t="n">
        <f aca="false">AR73-AR74-AR97-AR101</f>
        <v>9.35451613123006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236.551165583958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4.13492308625961</v>
      </c>
      <c r="K103" s="15" t="n">
        <f aca="false">MAX(0,K102-K99)*Исходные!$C$30</f>
        <v>9.74834224759881</v>
      </c>
      <c r="L103" s="15" t="n">
        <f aca="false">MAX(0,L102-L99)*Исходные!$C$30</f>
        <v>9.77487022583437</v>
      </c>
      <c r="M103" s="15" t="n">
        <f aca="false">MAX(0,M102-M99)*Исходные!$C$30</f>
        <v>9.80139820406993</v>
      </c>
      <c r="N103" s="15" t="n">
        <f aca="false">MAX(0,N102-N99)*Исходные!$C$30</f>
        <v>9.79549111737043</v>
      </c>
      <c r="O103" s="15" t="n">
        <f aca="false">MAX(0,O102-O99)*Исходные!$C$30</f>
        <v>9.60787070892654</v>
      </c>
      <c r="P103" s="15" t="n">
        <f aca="false">MAX(0,P102-P99)*Исходные!$C$30</f>
        <v>8.86758854144326</v>
      </c>
      <c r="Q103" s="15" t="n">
        <f aca="false">MAX(0,Q102-Q99)*Исходные!$C$30</f>
        <v>8.52006874822268</v>
      </c>
      <c r="R103" s="15" t="n">
        <f aca="false">MAX(0,R102-R99)*Исходные!$C$30</f>
        <v>8.50550691761875</v>
      </c>
      <c r="S103" s="15" t="n">
        <f aca="false">MAX(0,S102-S99)*Исходные!$C$30</f>
        <v>8.54938664545639</v>
      </c>
      <c r="T103" s="15" t="n">
        <f aca="false">MAX(0,T102-T99)*Исходные!$C$30</f>
        <v>8.59326637329402</v>
      </c>
      <c r="U103" s="15" t="n">
        <f aca="false">MAX(0,U102-U99)*Исходные!$C$30</f>
        <v>8.6399887345581</v>
      </c>
      <c r="V103" s="15" t="n">
        <f aca="false">MAX(0,V102-V99)*Исходные!$C$30</f>
        <v>7.6719780877021</v>
      </c>
      <c r="W103" s="15" t="n">
        <f aca="false">MAX(0,W102-W99)*Исходные!$C$30</f>
        <v>6.61444740821026</v>
      </c>
      <c r="X103" s="15" t="n">
        <f aca="false">MAX(0,X102-X99)*Исходные!$C$30</f>
        <v>10.5539835467281</v>
      </c>
      <c r="Y103" s="15" t="n">
        <f aca="false">MAX(0,Y102-Y99)*Исходные!$C$30</f>
        <v>9.91554367036054</v>
      </c>
      <c r="Z103" s="15" t="n">
        <f aca="false">MAX(0,Z102-Z99)*Исходные!$C$30</f>
        <v>9.21645824027572</v>
      </c>
      <c r="AA103" s="15" t="n">
        <f aca="false">MAX(0,AA102-AA99)*Исходные!$C$30</f>
        <v>8.46732897987337</v>
      </c>
      <c r="AB103" s="15" t="n">
        <f aca="false">MAX(0,AB102-AB99)*Исходные!$C$30</f>
        <v>7.77167772141558</v>
      </c>
      <c r="AC103" s="15" t="n">
        <f aca="false">MAX(0,AC102-AC99)*Исходные!$C$30</f>
        <v>7.12580173875131</v>
      </c>
      <c r="AD103" s="15" t="n">
        <f aca="false">MAX(0,AD102-AD99)*Исходные!$C$30</f>
        <v>6.58341052036385</v>
      </c>
      <c r="AE103" s="15" t="n">
        <f aca="false">MAX(0,AE102-AE99)*Исходные!$C$30</f>
        <v>6.30234524598146</v>
      </c>
      <c r="AF103" s="15" t="n">
        <f aca="false">MAX(0,AF102-AF99)*Исходные!$C$30</f>
        <v>6.12835588173613</v>
      </c>
      <c r="AG103" s="15" t="n">
        <f aca="false">MAX(0,AG102-AG99)*Исходные!$C$30</f>
        <v>5.6912002492441</v>
      </c>
      <c r="AH103" s="15" t="n">
        <f aca="false">MAX(0,AH102-AH99)*Исходные!$C$30</f>
        <v>5.23037317808359</v>
      </c>
      <c r="AI103" s="15" t="n">
        <f aca="false">MAX(0,AI102-AI99)*Исходные!$C$30</f>
        <v>4.80190880257637</v>
      </c>
      <c r="AJ103" s="15" t="n">
        <f aca="false">MAX(0,AJ102-AJ99)*Исходные!$C$30</f>
        <v>4.40356638456552</v>
      </c>
      <c r="AK103" s="15" t="n">
        <f aca="false">MAX(0,AK102-AK99)*Исходные!$C$30</f>
        <v>4.03326033080356</v>
      </c>
      <c r="AL103" s="15" t="n">
        <f aca="false">MAX(0,AL102-AL99)*Исходные!$C$30</f>
        <v>3.68904945098214</v>
      </c>
      <c r="AM103" s="15" t="n">
        <f aca="false">MAX(0,AM102-AM99)*Исходные!$C$30</f>
        <v>3.66178092487859</v>
      </c>
      <c r="AN103" s="15" t="n">
        <f aca="false">MAX(0,AN102-AN99)*Исходные!$C$30</f>
        <v>3.35788191692137</v>
      </c>
      <c r="AO103" s="15" t="n">
        <f aca="false">MAX(0,AO102-AO99)*Исходные!$C$30</f>
        <v>3.0750243608346</v>
      </c>
      <c r="AP103" s="15" t="n">
        <f aca="false">MAX(0,AP102-AP99)*Исходные!$C$30</f>
        <v>2.81175138217901</v>
      </c>
      <c r="AQ103" s="15" t="n">
        <f aca="false">MAX(0,AQ102-AQ99)*Исходные!$C$30</f>
        <v>2.5667069780305</v>
      </c>
      <c r="AR103" s="15" t="n">
        <f aca="false">MAX(0,AR102-AR99)*Исходные!$C$30</f>
        <v>2.33862903280752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702.30288802151</v>
      </c>
      <c r="E105" s="15" t="n">
        <f aca="false">E102-E103-E93</f>
        <v>-15</v>
      </c>
      <c r="F105" s="15" t="n">
        <f aca="false">F102-F103-F93</f>
        <v>-83.1326275316185</v>
      </c>
      <c r="G105" s="15" t="n">
        <f aca="false">G102-G103-G93</f>
        <v>-122.156302792711</v>
      </c>
      <c r="H105" s="15" t="n">
        <f aca="false">H102-H103-H93</f>
        <v>-89.6735354340466</v>
      </c>
      <c r="I105" s="15" t="n">
        <f aca="false">I102-I103-I93</f>
        <v>-0.337093697122151</v>
      </c>
      <c r="J105" s="15" t="n">
        <f aca="false">J102-J103-J93</f>
        <v>27.5289769327138</v>
      </c>
      <c r="K105" s="15" t="n">
        <f aca="false">K102-K103-K93</f>
        <v>51.2492344167315</v>
      </c>
      <c r="L105" s="15" t="n">
        <f aca="false">L102-L103-L93</f>
        <v>51.3288183514381</v>
      </c>
      <c r="M105" s="15" t="n">
        <f aca="false">M102-M103-M93</f>
        <v>51.4084022861448</v>
      </c>
      <c r="N105" s="15" t="n">
        <f aca="false">N102-N103-N93</f>
        <v>47.8841875195528</v>
      </c>
      <c r="O105" s="15" t="n">
        <f aca="false">O102-O103-O93</f>
        <v>34.0894192751727</v>
      </c>
      <c r="P105" s="15" t="n">
        <f aca="false">P102-P103-P93</f>
        <v>28.5114928057385</v>
      </c>
      <c r="Q105" s="15" t="n">
        <f aca="false">Q102-Q103-Q93</f>
        <v>46.8538793971794</v>
      </c>
      <c r="R105" s="15" t="n">
        <f aca="false">R102-R103-R93</f>
        <v>50.5504536456274</v>
      </c>
      <c r="S105" s="15" t="n">
        <f aca="false">S102-S103-S93</f>
        <v>50.6820928291403</v>
      </c>
      <c r="T105" s="15" t="n">
        <f aca="false">T102-T103-T93</f>
        <v>50.8137320126532</v>
      </c>
      <c r="U105" s="15" t="n">
        <f aca="false">U102-U103-U93</f>
        <v>50.9538990964454</v>
      </c>
      <c r="V105" s="15" t="n">
        <f aca="false">V102-V103-V93</f>
        <v>48.0498671558774</v>
      </c>
      <c r="W105" s="15" t="n">
        <f aca="false">W102-W103-W93</f>
        <v>26.923044113649</v>
      </c>
      <c r="X105" s="15" t="n">
        <f aca="false">X102-X103-X93</f>
        <v>37.2286678826472</v>
      </c>
      <c r="Y105" s="15" t="n">
        <f aca="false">Y102-Y103-Y93</f>
        <v>34.4033049635013</v>
      </c>
      <c r="Z105" s="15" t="n">
        <f aca="false">Z102-Z103-Z93</f>
        <v>31.8760486732468</v>
      </c>
      <c r="AA105" s="15" t="n">
        <f aca="false">AA102-AA103-AA93</f>
        <v>29.6286608920397</v>
      </c>
      <c r="AB105" s="15" t="n">
        <f aca="false">AB102-AB103-AB93</f>
        <v>27.5417071166664</v>
      </c>
      <c r="AC105" s="15" t="n">
        <f aca="false">AC102-AC103-AC93</f>
        <v>25.6040791686735</v>
      </c>
      <c r="AD105" s="15" t="n">
        <f aca="false">AD102-AD103-AD93</f>
        <v>23.743139279745</v>
      </c>
      <c r="AE105" s="15" t="n">
        <f aca="false">AE102-AE103-AE93</f>
        <v>21.7684656726439</v>
      </c>
      <c r="AF105" s="15" t="n">
        <f aca="false">AF102-AF103-AF93</f>
        <v>19.8157826125581</v>
      </c>
      <c r="AG105" s="15" t="n">
        <f aca="false">AG102-AG103-AG93</f>
        <v>18.2705494813158</v>
      </c>
      <c r="AH105" s="15" t="n">
        <f aca="false">AH102-AH103-AH93</f>
        <v>16.8880682678343</v>
      </c>
      <c r="AI105" s="15" t="n">
        <f aca="false">AI102-AI103-AI93</f>
        <v>15.6026751413126</v>
      </c>
      <c r="AJ105" s="15" t="n">
        <f aca="false">AJ102-AJ103-AJ93</f>
        <v>14.4076478872801</v>
      </c>
      <c r="AK105" s="15" t="n">
        <f aca="false">AK102-AK103-AK93</f>
        <v>13.2967297259942</v>
      </c>
      <c r="AL105" s="15" t="n">
        <f aca="false">AL102-AL103-AL93</f>
        <v>12.2640970865299</v>
      </c>
      <c r="AM105" s="15" t="n">
        <f aca="false">AM102-AM103-AM93</f>
        <v>10.9853427746358</v>
      </c>
      <c r="AN105" s="15" t="n">
        <f aca="false">AN102-AN103-AN93</f>
        <v>10.0736457507641</v>
      </c>
      <c r="AO105" s="15" t="n">
        <f aca="false">AO102-AO103-AO93</f>
        <v>9.22507308250381</v>
      </c>
      <c r="AP105" s="15" t="n">
        <f aca="false">AP102-AP103-AP93</f>
        <v>8.43525414653704</v>
      </c>
      <c r="AQ105" s="15" t="n">
        <f aca="false">AQ102-AQ103-AQ93</f>
        <v>7.7001209340915</v>
      </c>
      <c r="AR105" s="15" t="n">
        <f aca="false">AR102-AR103-AR93</f>
        <v>7.01588709842255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-1.55177926963406</v>
      </c>
      <c r="E107" s="15" t="n">
        <f aca="false">E105*E106</f>
        <v>-14.3019388386839</v>
      </c>
      <c r="F107" s="15" t="n">
        <f aca="false">F105*F106</f>
        <v>-72.058045724624</v>
      </c>
      <c r="G107" s="15" t="n">
        <f aca="false">G105*G106</f>
        <v>-96.2574088871129</v>
      </c>
      <c r="H107" s="15" t="n">
        <f aca="false">H105*H106</f>
        <v>-64.2376869134127</v>
      </c>
      <c r="I107" s="15" t="n">
        <f aca="false">I105*I106</f>
        <v>-0.21952477923397</v>
      </c>
      <c r="J107" s="15" t="n">
        <f aca="false">J105*J106</f>
        <v>16.2978495169527</v>
      </c>
      <c r="K107" s="15" t="n">
        <f aca="false">K105*K106</f>
        <v>27.5825826736031</v>
      </c>
      <c r="L107" s="15" t="n">
        <f aca="false">L105*L106</f>
        <v>25.1140137520622</v>
      </c>
      <c r="M107" s="15" t="n">
        <f aca="false">M105*M106</f>
        <v>22.8663203148213</v>
      </c>
      <c r="N107" s="15" t="n">
        <f aca="false">N105*N106</f>
        <v>19.3625081635936</v>
      </c>
      <c r="O107" s="15" t="n">
        <f aca="false">O105*O106</f>
        <v>12.5313081263788</v>
      </c>
      <c r="P107" s="15" t="n">
        <f aca="false">P105*P106</f>
        <v>9.52805109429982</v>
      </c>
      <c r="Q107" s="15" t="n">
        <f aca="false">Q105*Q106</f>
        <v>14.2343287161167</v>
      </c>
      <c r="R107" s="15" t="n">
        <f aca="false">R105*R106</f>
        <v>13.9612340477636</v>
      </c>
      <c r="S107" s="15" t="n">
        <f aca="false">S105*S106</f>
        <v>12.7250824579137</v>
      </c>
      <c r="T107" s="15" t="n">
        <f aca="false">T105*T106</f>
        <v>11.5983036030137</v>
      </c>
      <c r="U107" s="15" t="n">
        <f aca="false">U105*U106</f>
        <v>10.5729972099728</v>
      </c>
      <c r="V107" s="15" t="n">
        <f aca="false">V105*V106</f>
        <v>9.06400634847408</v>
      </c>
      <c r="W107" s="15" t="n">
        <f aca="false">W105*W106</f>
        <v>4.61699588385595</v>
      </c>
      <c r="X107" s="15" t="n">
        <f aca="false">X105*X106</f>
        <v>5.8039028725407</v>
      </c>
      <c r="Y107" s="15" t="n">
        <f aca="false">Y105*Y106</f>
        <v>4.87584756242084</v>
      </c>
      <c r="Z107" s="15" t="n">
        <f aca="false">Z105*Z106</f>
        <v>4.10697207957063</v>
      </c>
      <c r="AA107" s="15" t="n">
        <f aca="false">AA105*AA106</f>
        <v>3.47037660801305</v>
      </c>
      <c r="AB107" s="15" t="n">
        <f aca="false">AB105*AB106</f>
        <v>2.93266701426514</v>
      </c>
      <c r="AC107" s="15" t="n">
        <f aca="false">AC105*AC106</f>
        <v>2.47849687122711</v>
      </c>
      <c r="AD107" s="15" t="n">
        <f aca="false">AD105*AD106</f>
        <v>2.08941480948071</v>
      </c>
      <c r="AE107" s="15" t="n">
        <f aca="false">AE105*AE106</f>
        <v>1.74149271731637</v>
      </c>
      <c r="AF107" s="15" t="n">
        <f aca="false">AF105*AF106</f>
        <v>1.44116062308764</v>
      </c>
      <c r="AG107" s="15" t="n">
        <f aca="false">AG105*AG106</f>
        <v>1.20798093985217</v>
      </c>
      <c r="AH107" s="15" t="n">
        <f aca="false">AH105*AH106</f>
        <v>1.01506946512366</v>
      </c>
      <c r="AI107" s="15" t="n">
        <f aca="false">AI105*AI106</f>
        <v>0.852554535115497</v>
      </c>
      <c r="AJ107" s="15" t="n">
        <f aca="false">AJ105*AJ106</f>
        <v>0.715687617982672</v>
      </c>
      <c r="AK107" s="15" t="n">
        <f aca="false">AK105*AK106</f>
        <v>0.600457914562151</v>
      </c>
      <c r="AL107" s="15" t="n">
        <f aca="false">AL105*AL106</f>
        <v>0.503478149228969</v>
      </c>
      <c r="AM107" s="15" t="n">
        <f aca="false">AM105*AM106</f>
        <v>0.409983118706434</v>
      </c>
      <c r="AN107" s="15" t="n">
        <f aca="false">AN105*AN106</f>
        <v>0.341779768515981</v>
      </c>
      <c r="AO107" s="15" t="n">
        <f aca="false">AO105*AO106</f>
        <v>0.284535728238481</v>
      </c>
      <c r="AP107" s="15" t="n">
        <f aca="false">AP105*AP106</f>
        <v>0.236522509705705</v>
      </c>
      <c r="AQ107" s="15" t="n">
        <f aca="false">AQ105*AQ106</f>
        <v>0.196281409247645</v>
      </c>
      <c r="AR107" s="15" t="n">
        <f aca="false">AR105*AR106</f>
        <v>0.162581650409698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-86.3599845633079</v>
      </c>
      <c r="G108" s="15" t="n">
        <f aca="false">F108+G107</f>
        <v>-182.617393450421</v>
      </c>
      <c r="H108" s="15" t="n">
        <f aca="false">G108+H107</f>
        <v>-246.855080363834</v>
      </c>
      <c r="I108" s="15" t="n">
        <f aca="false">H108+I107</f>
        <v>-247.074605143068</v>
      </c>
      <c r="J108" s="15" t="n">
        <f aca="false">I108+J107</f>
        <v>-230.776755626115</v>
      </c>
      <c r="K108" s="15" t="n">
        <f aca="false">J108+K107</f>
        <v>-203.194172952512</v>
      </c>
      <c r="L108" s="15" t="n">
        <f aca="false">K108+L107</f>
        <v>-178.080159200449</v>
      </c>
      <c r="M108" s="15" t="n">
        <f aca="false">L108+M107</f>
        <v>-155.213838885628</v>
      </c>
      <c r="N108" s="15" t="n">
        <f aca="false">M108+N107</f>
        <v>-135.851330722034</v>
      </c>
      <c r="O108" s="15" t="n">
        <f aca="false">N108+O107</f>
        <v>-123.320022595656</v>
      </c>
      <c r="P108" s="15" t="n">
        <f aca="false">O108+P107</f>
        <v>-113.791971501356</v>
      </c>
      <c r="Q108" s="15" t="n">
        <f aca="false">P108+Q107</f>
        <v>-99.5576427852391</v>
      </c>
      <c r="R108" s="15" t="n">
        <f aca="false">Q108+R107</f>
        <v>-85.5964087374755</v>
      </c>
      <c r="S108" s="15" t="n">
        <f aca="false">R108+S107</f>
        <v>-72.8713262795618</v>
      </c>
      <c r="T108" s="15" t="n">
        <f aca="false">S108+T107</f>
        <v>-61.2730226765481</v>
      </c>
      <c r="U108" s="15" t="n">
        <f aca="false">T108+U107</f>
        <v>-50.7000254665753</v>
      </c>
      <c r="V108" s="15" t="n">
        <f aca="false">U108+V107</f>
        <v>-41.6360191181012</v>
      </c>
      <c r="W108" s="15" t="n">
        <f aca="false">V108+W107</f>
        <v>-37.0190232342453</v>
      </c>
      <c r="X108" s="15" t="n">
        <f aca="false">W108+X107</f>
        <v>-31.2151203617046</v>
      </c>
      <c r="Y108" s="15" t="n">
        <f aca="false">X108+Y107</f>
        <v>-26.3392727992837</v>
      </c>
      <c r="Z108" s="15" t="n">
        <f aca="false">Y108+Z107</f>
        <v>-22.2323007197131</v>
      </c>
      <c r="AA108" s="15" t="n">
        <f aca="false">Z108+AA107</f>
        <v>-18.7619241117</v>
      </c>
      <c r="AB108" s="15" t="n">
        <f aca="false">AA108+AB107</f>
        <v>-15.8292570974349</v>
      </c>
      <c r="AC108" s="15" t="n">
        <f aca="false">AB108+AC107</f>
        <v>-13.3507602262078</v>
      </c>
      <c r="AD108" s="15" t="n">
        <f aca="false">AC108+AD107</f>
        <v>-11.2613454167271</v>
      </c>
      <c r="AE108" s="15" t="n">
        <f aca="false">AD108+AE107</f>
        <v>-9.51985269941071</v>
      </c>
      <c r="AF108" s="15" t="n">
        <f aca="false">AE108+AF107</f>
        <v>-8.07869207632307</v>
      </c>
      <c r="AG108" s="15" t="n">
        <f aca="false">AF108+AG107</f>
        <v>-6.8707111364709</v>
      </c>
      <c r="AH108" s="15" t="n">
        <f aca="false">AG108+AH107</f>
        <v>-5.85564167134724</v>
      </c>
      <c r="AI108" s="15" t="n">
        <f aca="false">AH108+AI107</f>
        <v>-5.00308713623174</v>
      </c>
      <c r="AJ108" s="15" t="n">
        <f aca="false">AI108+AJ107</f>
        <v>-4.28739951824907</v>
      </c>
      <c r="AK108" s="15" t="n">
        <f aca="false">AJ108+AK107</f>
        <v>-3.68694160368692</v>
      </c>
      <c r="AL108" s="15" t="n">
        <f aca="false">AK108+AL107</f>
        <v>-3.18346345445795</v>
      </c>
      <c r="AM108" s="15" t="n">
        <f aca="false">AL108+AM107</f>
        <v>-2.77348033575151</v>
      </c>
      <c r="AN108" s="15" t="n">
        <f aca="false">AM108+AN107</f>
        <v>-2.43170056723553</v>
      </c>
      <c r="AO108" s="15" t="n">
        <f aca="false">AN108+AO107</f>
        <v>-2.14716483899705</v>
      </c>
      <c r="AP108" s="15" t="n">
        <f aca="false">AO108+AP107</f>
        <v>-1.91064232929135</v>
      </c>
      <c r="AQ108" s="15" t="n">
        <f aca="false">AP108+AQ107</f>
        <v>-1.7143609200437</v>
      </c>
      <c r="AR108" s="15" t="n">
        <f aca="false">AQ108+AR107</f>
        <v>-1.551779269634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0</v>
      </c>
      <c r="AB109" s="40" t="n">
        <f aca="false">IF(OR(AA109=1,AND(AB108&gt;0,AB46&gt;2031)),1,0)</f>
        <v>0</v>
      </c>
      <c r="AC109" s="40" t="n">
        <f aca="false">IF(OR(AB109=1,AND(AC108&gt;0,AC46&gt;2031)),1,0)</f>
        <v>0</v>
      </c>
      <c r="AD109" s="40" t="n">
        <f aca="false">IF(OR(AC109=1,AND(AD108&gt;0,AD46&gt;2031)),1,0)</f>
        <v>0</v>
      </c>
      <c r="AE109" s="40" t="n">
        <f aca="false">IF(OR(AD109=1,AND(AE108&gt;0,AE46&gt;2031)),1,0)</f>
        <v>0</v>
      </c>
      <c r="AF109" s="40" t="n">
        <f aca="false">IF(OR(AE109=1,AND(AF108&gt;0,AF46&gt;2031)),1,0)</f>
        <v>0</v>
      </c>
      <c r="AG109" s="40" t="n">
        <f aca="false">IF(OR(AF109=1,AND(AG108&gt;0,AG46&gt;2031)),1,0)</f>
        <v>0</v>
      </c>
      <c r="AH109" s="40" t="n">
        <f aca="false">IF(OR(AG109=1,AND(AH108&gt;0,AH46&gt;2031)),1,0)</f>
        <v>0</v>
      </c>
      <c r="AI109" s="40" t="n">
        <f aca="false">IF(OR(AH109=1,AND(AI108&gt;0,AI46&gt;2031)),1,0)</f>
        <v>0</v>
      </c>
      <c r="AJ109" s="40" t="n">
        <f aca="false">IF(OR(AI109=1,AND(AJ108&gt;0,AJ46&gt;2031)),1,0)</f>
        <v>0</v>
      </c>
      <c r="AK109" s="40" t="n">
        <f aca="false">IF(OR(AJ109=1,AND(AK108&gt;0,AK46&gt;2031)),1,0)</f>
        <v>0</v>
      </c>
      <c r="AL109" s="40" t="n">
        <f aca="false">IF(OR(AK109=1,AND(AL108&gt;0,AL46&gt;2031)),1,0)</f>
        <v>0</v>
      </c>
      <c r="AM109" s="40" t="n">
        <f aca="false">IF(OR(AL109=1,AND(AM108&gt;0,AM46&gt;2031)),1,0)</f>
        <v>0</v>
      </c>
      <c r="AN109" s="40" t="n">
        <f aca="false">IF(OR(AM109=1,AND(AN108&gt;0,AN46&gt;2031)),1,0)</f>
        <v>0</v>
      </c>
      <c r="AO109" s="40" t="n">
        <f aca="false">IF(OR(AN109=1,AND(AO108&gt;0,AO46&gt;2031)),1,0)</f>
        <v>0</v>
      </c>
      <c r="AP109" s="40" t="n">
        <f aca="false">IF(OR(AO109=1,AND(AP108&gt;0,AP46&gt;2031)),1,0)</f>
        <v>0</v>
      </c>
      <c r="AQ109" s="40" t="n">
        <f aca="false">IF(OR(AP109=1,AND(AQ108&gt;0,AQ46&gt;2031)),1,0)</f>
        <v>0</v>
      </c>
      <c r="AR109" s="40" t="n">
        <f aca="false">IF(OR(AQ109=1,AND(AR108&gt;0,AR46&gt;2031)),1,0)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423</v>
      </c>
    </row>
    <row r="3" customFormat="false" ht="15" hidden="false" customHeight="false" outlineLevel="0" collapsed="false">
      <c r="B3" s="2" t="s">
        <v>424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17.5883830998681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0.108247394998539</v>
      </c>
    </row>
    <row r="7" customFormat="false" ht="15" hidden="false" customHeight="false" outlineLevel="0" collapsed="false">
      <c r="B7" s="8" t="s">
        <v>32</v>
      </c>
      <c r="C7" s="40" t="n">
        <f aca="false">IF(SUM(E109:AR109)=0,"нет",2067-SUM(E109:AR109))</f>
        <v>2049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1.06867131781781</v>
      </c>
    </row>
    <row r="9" customFormat="false" ht="15" hidden="false" customHeight="false" outlineLevel="0" collapsed="false">
      <c r="B9" s="8" t="s">
        <v>34</v>
      </c>
      <c r="C9" s="41" t="n">
        <f aca="false">D93</f>
        <v>362.294393226489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Сценарии!$J$6</f>
        <v>T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Сценарии!$J$7</f>
        <v>T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Сценарии!$J$8</f>
        <v>1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Сценарии!$J$9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Сценарии!$J$10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Сценарии!$J$11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Сценарии!$J$12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Сценарии!$J$13</f>
        <v>1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Сценарии!$J$14</f>
        <v>40000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Сценарии!$J$15</f>
        <v>47500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Сценарии!$J$16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Сценарии!$J$17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Сценарии!$J$18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Сценарии!$J$19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Сценарии!$J$20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Сценарии!$J$21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Сценарии!$J$22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Сценарии!$J$23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Сценарии!$J$24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41.3344884872284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988.429214607304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36.5653039339633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5201.39108111017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0.21</v>
      </c>
      <c r="F56" s="54" t="n">
        <f aca="false">IF($D$22=0,1,IF(F55&gt;Исходные!$C$28,1,MIN(1,Исходные!$C$26*F55+Исходные!$C$27)))</f>
        <v>0.21</v>
      </c>
      <c r="G56" s="54" t="n">
        <f aca="false">IF($D$22=0,1,IF(G55&gt;Исходные!$C$28,1,MIN(1,Исходные!$C$26*G55+Исходные!$C$27)))</f>
        <v>0.21</v>
      </c>
      <c r="H56" s="54" t="n">
        <f aca="false">IF($D$22=0,1,IF(H55&gt;Исходные!$C$28,1,MIN(1,Исходные!$C$26*H55+Исходные!$C$27)))</f>
        <v>0.21</v>
      </c>
      <c r="I56" s="54" t="n">
        <f aca="false">IF($D$22=0,1,IF(I55&gt;Исходные!$C$28,1,MIN(1,Исходные!$C$26*I55+Исходные!$C$27)))</f>
        <v>0.21</v>
      </c>
      <c r="J56" s="54" t="n">
        <f aca="false">IF($D$22=0,1,IF(J55&gt;Исходные!$C$28,1,MIN(1,Исходные!$C$26*J55+Исходные!$C$27)))</f>
        <v>0.276</v>
      </c>
      <c r="K56" s="54" t="n">
        <f aca="false">IF($D$22=0,1,IF(K55&gt;Исходные!$C$28,1,MIN(1,Исходные!$C$26*K55+Исходные!$C$27)))</f>
        <v>0.342</v>
      </c>
      <c r="L56" s="54" t="n">
        <f aca="false">IF($D$22=0,1,IF(L55&gt;Исходные!$C$28,1,MIN(1,Исходные!$C$26*L55+Исходные!$C$27)))</f>
        <v>0.408</v>
      </c>
      <c r="M56" s="54" t="n">
        <f aca="false">IF($D$22=0,1,IF(M55&gt;Исходные!$C$28,1,MIN(1,Исходные!$C$26*M55+Исходные!$C$27)))</f>
        <v>0.474</v>
      </c>
      <c r="N56" s="54" t="n">
        <f aca="false">IF($D$22=0,1,IF(N55&gt;Исходные!$C$28,1,MIN(1,Исходные!$C$26*N55+Исходные!$C$27)))</f>
        <v>0.54</v>
      </c>
      <c r="O56" s="54" t="n">
        <f aca="false">IF($D$22=0,1,IF(O55&gt;Исходные!$C$28,1,MIN(1,Исходные!$C$26*O55+Исходные!$C$27)))</f>
        <v>0.606</v>
      </c>
      <c r="P56" s="54" t="n">
        <f aca="false">IF($D$22=0,1,IF(P55&gt;Исходные!$C$28,1,MIN(1,Исходные!$C$26*P55+Исходные!$C$27)))</f>
        <v>0.672</v>
      </c>
      <c r="Q56" s="54" t="n">
        <f aca="false">IF($D$22=0,1,IF(Q55&gt;Исходные!$C$28,1,MIN(1,Исходные!$C$26*Q55+Исходные!$C$27)))</f>
        <v>0.738</v>
      </c>
      <c r="R56" s="54" t="n">
        <f aca="false">IF($D$22=0,1,IF(R55&gt;Исходные!$C$28,1,MIN(1,Исходные!$C$26*R55+Исходные!$C$27)))</f>
        <v>0.804</v>
      </c>
      <c r="S56" s="54" t="n">
        <f aca="false">IF($D$22=0,1,IF(S55&gt;Исходные!$C$28,1,MIN(1,Исходные!$C$26*S55+Исходные!$C$27)))</f>
        <v>0.87</v>
      </c>
      <c r="T56" s="54" t="n">
        <f aca="false">IF($D$22=0,1,IF(T55&gt;Исходные!$C$28,1,MIN(1,Исходные!$C$26*T55+Исходные!$C$27)))</f>
        <v>0.936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6.34412901506064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0.186592029854725</v>
      </c>
      <c r="L59" s="54" t="n">
        <f aca="false">IF(AND($D$17=1,L46&gt;=Исходные!$C$42,L52&gt;0),$D$44,0)</f>
        <v>0.186592029854725</v>
      </c>
      <c r="M59" s="54" t="n">
        <f aca="false">IF(AND($D$17=1,M46&gt;=Исходные!$C$42,M52&gt;0),$D$44,0)</f>
        <v>0.186592029854725</v>
      </c>
      <c r="N59" s="54" t="n">
        <f aca="false">IF(AND($D$17=1,N46&gt;=Исходные!$C$42,N52&gt;0),$D$44,0)</f>
        <v>0.186592029854725</v>
      </c>
      <c r="O59" s="54" t="n">
        <f aca="false">IF(AND($D$17=1,O46&gt;=Исходные!$C$42,O52&gt;0),$D$44,0)</f>
        <v>0.186592029854725</v>
      </c>
      <c r="P59" s="54" t="n">
        <f aca="false">IF(AND($D$17=1,P46&gt;=Исходные!$C$42,P52&gt;0),$D$44,0)</f>
        <v>0.186592029854725</v>
      </c>
      <c r="Q59" s="54" t="n">
        <f aca="false">IF(AND($D$17=1,Q46&gt;=Исходные!$C$42,Q52&gt;0),$D$44,0)</f>
        <v>0.186592029854725</v>
      </c>
      <c r="R59" s="54" t="n">
        <f aca="false">IF(AND($D$17=1,R46&gt;=Исходные!$C$42,R52&gt;0),$D$44,0)</f>
        <v>0.186592029854725</v>
      </c>
      <c r="S59" s="54" t="n">
        <f aca="false">IF(AND($D$17=1,S46&gt;=Исходные!$C$42,S52&gt;0),$D$44,0)</f>
        <v>0.186592029854725</v>
      </c>
      <c r="T59" s="54" t="n">
        <f aca="false">IF(AND($D$17=1,T46&gt;=Исходные!$C$42,T52&gt;0),$D$44,0)</f>
        <v>0.186592029854725</v>
      </c>
      <c r="U59" s="54" t="n">
        <f aca="false">IF(AND($D$17=1,U46&gt;=Исходные!$C$42,U52&gt;0),$D$44,0)</f>
        <v>0.186592029854725</v>
      </c>
      <c r="V59" s="54" t="n">
        <f aca="false">IF(AND($D$17=1,V46&gt;=Исходные!$C$42,V52&gt;0),$D$44,0)</f>
        <v>0.186592029854725</v>
      </c>
      <c r="W59" s="54" t="n">
        <f aca="false">IF(AND($D$17=1,W46&gt;=Исходные!$C$42,W52&gt;0),$D$44,0)</f>
        <v>0.186592029854725</v>
      </c>
      <c r="X59" s="54" t="n">
        <f aca="false">IF(AND($D$17=1,X46&gt;=Исходные!$C$42,X52&gt;0),$D$44,0)</f>
        <v>0.186592029854725</v>
      </c>
      <c r="Y59" s="54" t="n">
        <f aca="false">IF(AND($D$17=1,Y46&gt;=Исходные!$C$42,Y52&gt;0),$D$44,0)</f>
        <v>0.186592029854725</v>
      </c>
      <c r="Z59" s="54" t="n">
        <f aca="false">IF(AND($D$17=1,Z46&gt;=Исходные!$C$42,Z52&gt;0),$D$44,0)</f>
        <v>0.186592029854725</v>
      </c>
      <c r="AA59" s="54" t="n">
        <f aca="false">IF(AND($D$17=1,AA46&gt;=Исходные!$C$42,AA52&gt;0),$D$44,0)</f>
        <v>0.186592029854725</v>
      </c>
      <c r="AB59" s="54" t="n">
        <f aca="false">IF(AND($D$17=1,AB46&gt;=Исходные!$C$42,AB52&gt;0),$D$44,0)</f>
        <v>0.186592029854725</v>
      </c>
      <c r="AC59" s="54" t="n">
        <f aca="false">IF(AND($D$17=1,AC46&gt;=Исходные!$C$42,AC52&gt;0),$D$44,0)</f>
        <v>0.186592029854725</v>
      </c>
      <c r="AD59" s="54" t="n">
        <f aca="false">IF(AND($D$17=1,AD46&gt;=Исходные!$C$42,AD52&gt;0),$D$44,0)</f>
        <v>0.186592029854725</v>
      </c>
      <c r="AE59" s="54" t="n">
        <f aca="false">IF(AND($D$17=1,AE46&gt;=Исходные!$C$42,AE52&gt;0),$D$44,0)</f>
        <v>0.186592029854725</v>
      </c>
      <c r="AF59" s="54" t="n">
        <f aca="false">IF(AND($D$17=1,AF46&gt;=Исходные!$C$42,AF52&gt;0),$D$44,0)</f>
        <v>0.186592029854725</v>
      </c>
      <c r="AG59" s="54" t="n">
        <f aca="false">IF(AND($D$17=1,AG46&gt;=Исходные!$C$42,AG52&gt;0),$D$44,0)</f>
        <v>0.186592029854725</v>
      </c>
      <c r="AH59" s="54" t="n">
        <f aca="false">IF(AND($D$17=1,AH46&gt;=Исходные!$C$42,AH52&gt;0),$D$44,0)</f>
        <v>0.186592029854725</v>
      </c>
      <c r="AI59" s="54" t="n">
        <f aca="false">IF(AND($D$17=1,AI46&gt;=Исходные!$C$42,AI52&gt;0),$D$44,0)</f>
        <v>0.186592029854725</v>
      </c>
      <c r="AJ59" s="54" t="n">
        <f aca="false">IF(AND($D$17=1,AJ46&gt;=Исходные!$C$42,AJ52&gt;0),$D$44,0)</f>
        <v>0.186592029854725</v>
      </c>
      <c r="AK59" s="54" t="n">
        <f aca="false">IF(AND($D$17=1,AK46&gt;=Исходные!$C$42,AK52&gt;0),$D$44,0)</f>
        <v>0.186592029854725</v>
      </c>
      <c r="AL59" s="54" t="n">
        <f aca="false">IF(AND($D$17=1,AL46&gt;=Исходные!$C$42,AL52&gt;0),$D$44,0)</f>
        <v>0.186592029854725</v>
      </c>
      <c r="AM59" s="54" t="n">
        <f aca="false">IF(AND($D$17=1,AM46&gt;=Исходные!$C$42,AM52&gt;0),$D$44,0)</f>
        <v>0.186592029854725</v>
      </c>
      <c r="AN59" s="54" t="n">
        <f aca="false">IF(AND($D$17=1,AN46&gt;=Исходные!$C$42,AN52&gt;0),$D$44,0)</f>
        <v>0.186592029854725</v>
      </c>
      <c r="AO59" s="54" t="n">
        <f aca="false">IF(AND($D$17=1,AO46&gt;=Исходные!$C$42,AO52&gt;0),$D$44,0)</f>
        <v>0.186592029854725</v>
      </c>
      <c r="AP59" s="54" t="n">
        <f aca="false">IF(AND($D$17=1,AP46&gt;=Исходные!$C$42,AP52&gt;0),$D$44,0)</f>
        <v>0.186592029854725</v>
      </c>
      <c r="AQ59" s="54" t="n">
        <f aca="false">IF(AND($D$17=1,AQ46&gt;=Исходные!$C$42,AQ52&gt;0),$D$44,0)</f>
        <v>0.186592029854725</v>
      </c>
      <c r="AR59" s="54" t="n">
        <f aca="false">IF(AND($D$17=1,AR46&gt;=Исходные!$C$42,AR52&gt;0),$D$44,0)</f>
        <v>0.186592029854725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257.231589394239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4.15140270135068</v>
      </c>
      <c r="J60" s="15" t="n">
        <f aca="false">J58*$D$37/1000-J59</f>
        <v>8.30280540270135</v>
      </c>
      <c r="K60" s="15" t="n">
        <f aca="false">K58*$D$37/1000-K59</f>
        <v>11.4373355339272</v>
      </c>
      <c r="L60" s="15" t="n">
        <f aca="false">L58*$D$37/1000-L59</f>
        <v>11.4373355339272</v>
      </c>
      <c r="M60" s="15" t="n">
        <f aca="false">M58*$D$37/1000-M59</f>
        <v>11.4373355339272</v>
      </c>
      <c r="N60" s="15" t="n">
        <f aca="false">N58*$D$37/1000-N59</f>
        <v>11.4373355339272</v>
      </c>
      <c r="O60" s="15" t="n">
        <f aca="false">O58*$D$37/1000-O59</f>
        <v>11.4373355339272</v>
      </c>
      <c r="P60" s="15" t="n">
        <f aca="false">P58*$D$37/1000-P59</f>
        <v>11.2594182752979</v>
      </c>
      <c r="Q60" s="15" t="n">
        <f aca="false">Q58*$D$37/1000-Q59</f>
        <v>11.2594182752979</v>
      </c>
      <c r="R60" s="15" t="n">
        <f aca="false">R58*$D$37/1000-R59</f>
        <v>11.2594182752979</v>
      </c>
      <c r="S60" s="15" t="n">
        <f aca="false">S58*$D$37/1000-S59</f>
        <v>11.2594182752979</v>
      </c>
      <c r="T60" s="15" t="n">
        <f aca="false">T58*$D$37/1000-T59</f>
        <v>11.2594182752979</v>
      </c>
      <c r="U60" s="15" t="n">
        <f aca="false">U58*$D$37/1000-U59</f>
        <v>11.2594182752979</v>
      </c>
      <c r="V60" s="15" t="n">
        <f aca="false">V58*$D$37/1000-V59</f>
        <v>10.4669159352489</v>
      </c>
      <c r="W60" s="15" t="n">
        <f aca="false">W58*$D$37/1000-W59</f>
        <v>9.72928511306861</v>
      </c>
      <c r="X60" s="15" t="n">
        <f aca="false">X58*$D$37/1000-X59</f>
        <v>9.04272659792673</v>
      </c>
      <c r="Y60" s="15" t="n">
        <f aca="false">Y58*$D$37/1000-Y59</f>
        <v>8.40370422990726</v>
      </c>
      <c r="Z60" s="15" t="n">
        <f aca="false">Z58*$D$37/1000-Z59</f>
        <v>7.80892668680911</v>
      </c>
      <c r="AA60" s="15" t="n">
        <f aca="false">AA58*$D$37/1000-AA59</f>
        <v>7.25533053199799</v>
      </c>
      <c r="AB60" s="15" t="n">
        <f aca="false">AB58*$D$37/1000-AB59</f>
        <v>6.74006443599631</v>
      </c>
      <c r="AC60" s="15" t="n">
        <f aca="false">AC58*$D$37/1000-AC59</f>
        <v>6.26047449054337</v>
      </c>
      <c r="AD60" s="15" t="n">
        <f aca="false">AD58*$D$37/1000-AD59</f>
        <v>5.81409053948521</v>
      </c>
      <c r="AE60" s="15" t="n">
        <f aca="false">AE58*$D$37/1000-AE59</f>
        <v>5.39861345609033</v>
      </c>
      <c r="AF60" s="15" t="n">
        <f aca="false">AF58*$D$37/1000-AF59</f>
        <v>5.01190330126259</v>
      </c>
      <c r="AG60" s="15" t="n">
        <f aca="false">AG58*$D$37/1000-AG59</f>
        <v>4.65196830165935</v>
      </c>
      <c r="AH60" s="15" t="n">
        <f aca="false">AH58*$D$37/1000-AH59</f>
        <v>4.31695459094597</v>
      </c>
      <c r="AI60" s="15" t="n">
        <f aca="false">AI58*$D$37/1000-AI59</f>
        <v>4.00513666134851</v>
      </c>
      <c r="AJ60" s="15" t="n">
        <f aca="false">AJ58*$D$37/1000-AJ59</f>
        <v>3.71490847632466</v>
      </c>
      <c r="AK60" s="15" t="n">
        <f aca="false">AK58*$D$37/1000-AK59</f>
        <v>3.44477519857833</v>
      </c>
      <c r="AL60" s="15" t="n">
        <f aca="false">AL58*$D$37/1000-AL59</f>
        <v>3.19334549081242</v>
      </c>
      <c r="AM60" s="15" t="n">
        <f aca="false">AM58*$D$37/1000-AM59</f>
        <v>2.95932434956445</v>
      </c>
      <c r="AN60" s="15" t="n">
        <f aca="false">AN58*$D$37/1000-AN59</f>
        <v>2.74150643521524</v>
      </c>
      <c r="AO60" s="15" t="n">
        <f aca="false">AO58*$D$37/1000-AO59</f>
        <v>2.53876986381647</v>
      </c>
      <c r="AP60" s="15" t="n">
        <f aca="false">AP58*$D$37/1000-AP59</f>
        <v>2.3500704287616</v>
      </c>
      <c r="AQ60" s="15" t="n">
        <f aca="false">AQ58*$D$37/1000-AQ59</f>
        <v>2.17443622253844</v>
      </c>
      <c r="AR60" s="15" t="n">
        <f aca="false">AR58*$D$37/1000-AR59</f>
        <v>2.01096263086249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11.0223042147035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0.173604851646359</v>
      </c>
      <c r="J61" s="54" t="n">
        <f aca="false">J58*$D$34/1000</f>
        <v>0.347209703292719</v>
      </c>
      <c r="K61" s="54" t="n">
        <f aca="false">K58*$D$34/1000</f>
        <v>0.486093584609806</v>
      </c>
      <c r="L61" s="54" t="n">
        <f aca="false">L58*$D$34/1000</f>
        <v>0.486093584609806</v>
      </c>
      <c r="M61" s="54" t="n">
        <f aca="false">M58*$D$34/1000</f>
        <v>0.486093584609806</v>
      </c>
      <c r="N61" s="54" t="n">
        <f aca="false">N58*$D$34/1000</f>
        <v>0.486093584609806</v>
      </c>
      <c r="O61" s="54" t="n">
        <f aca="false">O58*$D$34/1000</f>
        <v>0.486093584609806</v>
      </c>
      <c r="P61" s="54" t="n">
        <f aca="false">P58*$D$34/1000</f>
        <v>0.478653376682105</v>
      </c>
      <c r="Q61" s="54" t="n">
        <f aca="false">Q58*$D$34/1000</f>
        <v>0.478653376682105</v>
      </c>
      <c r="R61" s="54" t="n">
        <f aca="false">R58*$D$34/1000</f>
        <v>0.478653376682105</v>
      </c>
      <c r="S61" s="54" t="n">
        <f aca="false">S58*$D$34/1000</f>
        <v>0.478653376682105</v>
      </c>
      <c r="T61" s="54" t="n">
        <f aca="false">T58*$D$34/1000</f>
        <v>0.478653376682105</v>
      </c>
      <c r="U61" s="54" t="n">
        <f aca="false">U58*$D$34/1000</f>
        <v>0.478653376682105</v>
      </c>
      <c r="V61" s="54" t="n">
        <f aca="false">V58*$D$34/1000</f>
        <v>0.445512228720521</v>
      </c>
      <c r="W61" s="54" t="n">
        <f aca="false">W58*$D$34/1000</f>
        <v>0.41466571763338</v>
      </c>
      <c r="X61" s="54" t="n">
        <f aca="false">X58*$D$34/1000</f>
        <v>0.38595496665541</v>
      </c>
      <c r="Y61" s="54" t="n">
        <f aca="false">Y58*$D$34/1000</f>
        <v>0.359232099379097</v>
      </c>
      <c r="Z61" s="54" t="n">
        <f aca="false">Z58*$D$34/1000</f>
        <v>0.334359478108569</v>
      </c>
      <c r="AA61" s="54" t="n">
        <f aca="false">AA58*$D$34/1000</f>
        <v>0.311208994948573</v>
      </c>
      <c r="AB61" s="54" t="n">
        <f aca="false">AB58*$D$34/1000</f>
        <v>0.28966141197724</v>
      </c>
      <c r="AC61" s="54" t="n">
        <f aca="false">AC58*$D$34/1000</f>
        <v>0.269605747104171</v>
      </c>
      <c r="AD61" s="54" t="n">
        <f aca="false">AD58*$D$34/1000</f>
        <v>0.250938702450672</v>
      </c>
      <c r="AE61" s="54" t="n">
        <f aca="false">AE58*$D$34/1000</f>
        <v>0.233564132307968</v>
      </c>
      <c r="AF61" s="54" t="n">
        <f aca="false">AF58*$D$34/1000</f>
        <v>0.217392547933084</v>
      </c>
      <c r="AG61" s="54" t="n">
        <f aca="false">AG58*$D$34/1000</f>
        <v>0.202340656631833</v>
      </c>
      <c r="AH61" s="54" t="n">
        <f aca="false">AH58*$D$34/1000</f>
        <v>0.188330932754896</v>
      </c>
      <c r="AI61" s="54" t="n">
        <f aca="false">AI58*$D$34/1000</f>
        <v>0.175291218397426</v>
      </c>
      <c r="AJ61" s="54" t="n">
        <f aca="false">AJ58*$D$34/1000</f>
        <v>0.163154351745519</v>
      </c>
      <c r="AK61" s="54" t="n">
        <f aca="false">AK58*$D$34/1000</f>
        <v>0.151857821155356</v>
      </c>
      <c r="AL61" s="54" t="n">
        <f aca="false">AL58*$D$34/1000</f>
        <v>0.141343443183306</v>
      </c>
      <c r="AM61" s="54" t="n">
        <f aca="false">AM58*$D$34/1000</f>
        <v>0.131557062908695</v>
      </c>
      <c r="AN61" s="54" t="n">
        <f aca="false">AN58*$D$34/1000</f>
        <v>0.122448275005703</v>
      </c>
      <c r="AO61" s="54" t="n">
        <f aca="false">AO58*$D$34/1000</f>
        <v>0.113970164127776</v>
      </c>
      <c r="AP61" s="54" t="n">
        <f aca="false">AP58*$D$34/1000</f>
        <v>0.106079063267386</v>
      </c>
      <c r="AQ61" s="54" t="n">
        <f aca="false">AQ58*$D$34/1000</f>
        <v>0.0987343288465414</v>
      </c>
      <c r="AR61" s="54" t="n">
        <f aca="false">AR58*$D$34/1000</f>
        <v>0.0918981313796547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1.36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0.04</v>
      </c>
      <c r="L64" s="54" t="n">
        <f aca="false">IF(L59&gt;0,Исходные!$C$39/1000,0)</f>
        <v>0.04</v>
      </c>
      <c r="M64" s="54" t="n">
        <f aca="false">IF(M59&gt;0,Исходные!$C$39/1000,0)</f>
        <v>0.04</v>
      </c>
      <c r="N64" s="54" t="n">
        <f aca="false">IF(N59&gt;0,Исходные!$C$39/1000,0)</f>
        <v>0.04</v>
      </c>
      <c r="O64" s="54" t="n">
        <f aca="false">IF(O59&gt;0,Исходные!$C$39/1000,0)</f>
        <v>0.04</v>
      </c>
      <c r="P64" s="54" t="n">
        <f aca="false">IF(P59&gt;0,Исходные!$C$39/1000,0)</f>
        <v>0.04</v>
      </c>
      <c r="Q64" s="54" t="n">
        <f aca="false">IF(Q59&gt;0,Исходные!$C$39/1000,0)</f>
        <v>0.04</v>
      </c>
      <c r="R64" s="54" t="n">
        <f aca="false">IF(R59&gt;0,Исходные!$C$39/1000,0)</f>
        <v>0.04</v>
      </c>
      <c r="S64" s="54" t="n">
        <f aca="false">IF(S59&gt;0,Исходные!$C$39/1000,0)</f>
        <v>0.04</v>
      </c>
      <c r="T64" s="54" t="n">
        <f aca="false">IF(T59&gt;0,Исходные!$C$39/1000,0)</f>
        <v>0.04</v>
      </c>
      <c r="U64" s="54" t="n">
        <f aca="false">IF(U59&gt;0,Исходные!$C$39/1000,0)</f>
        <v>0.04</v>
      </c>
      <c r="V64" s="54" t="n">
        <f aca="false">IF(V59&gt;0,Исходные!$C$39/1000,0)</f>
        <v>0.04</v>
      </c>
      <c r="W64" s="54" t="n">
        <f aca="false">IF(W59&gt;0,Исходные!$C$39/1000,0)</f>
        <v>0.04</v>
      </c>
      <c r="X64" s="54" t="n">
        <f aca="false">IF(X59&gt;0,Исходные!$C$39/1000,0)</f>
        <v>0.04</v>
      </c>
      <c r="Y64" s="54" t="n">
        <f aca="false">IF(Y59&gt;0,Исходные!$C$39/1000,0)</f>
        <v>0.04</v>
      </c>
      <c r="Z64" s="54" t="n">
        <f aca="false">IF(Z59&gt;0,Исходные!$C$39/1000,0)</f>
        <v>0.04</v>
      </c>
      <c r="AA64" s="54" t="n">
        <f aca="false">IF(AA59&gt;0,Исходные!$C$39/1000,0)</f>
        <v>0.04</v>
      </c>
      <c r="AB64" s="54" t="n">
        <f aca="false">IF(AB59&gt;0,Исходные!$C$39/1000,0)</f>
        <v>0.04</v>
      </c>
      <c r="AC64" s="54" t="n">
        <f aca="false">IF(AC59&gt;0,Исходные!$C$39/1000,0)</f>
        <v>0.04</v>
      </c>
      <c r="AD64" s="54" t="n">
        <f aca="false">IF(AD59&gt;0,Исходные!$C$39/1000,0)</f>
        <v>0.04</v>
      </c>
      <c r="AE64" s="54" t="n">
        <f aca="false">IF(AE59&gt;0,Исходные!$C$39/1000,0)</f>
        <v>0.04</v>
      </c>
      <c r="AF64" s="54" t="n">
        <f aca="false">IF(AF59&gt;0,Исходные!$C$39/1000,0)</f>
        <v>0.04</v>
      </c>
      <c r="AG64" s="54" t="n">
        <f aca="false">IF(AG59&gt;0,Исходные!$C$39/1000,0)</f>
        <v>0.04</v>
      </c>
      <c r="AH64" s="54" t="n">
        <f aca="false">IF(AH59&gt;0,Исходные!$C$39/1000,0)</f>
        <v>0.04</v>
      </c>
      <c r="AI64" s="54" t="n">
        <f aca="false">IF(AI59&gt;0,Исходные!$C$39/1000,0)</f>
        <v>0.04</v>
      </c>
      <c r="AJ64" s="54" t="n">
        <f aca="false">IF(AJ59&gt;0,Исходные!$C$39/1000,0)</f>
        <v>0.04</v>
      </c>
      <c r="AK64" s="54" t="n">
        <f aca="false">IF(AK59&gt;0,Исходные!$C$39/1000,0)</f>
        <v>0.04</v>
      </c>
      <c r="AL64" s="54" t="n">
        <f aca="false">IF(AL59&gt;0,Исходные!$C$39/1000,0)</f>
        <v>0.04</v>
      </c>
      <c r="AM64" s="54" t="n">
        <f aca="false">IF(AM59&gt;0,Исходные!$C$39/1000,0)</f>
        <v>0.04</v>
      </c>
      <c r="AN64" s="54" t="n">
        <f aca="false">IF(AN59&gt;0,Исходные!$C$39/1000,0)</f>
        <v>0.04</v>
      </c>
      <c r="AO64" s="54" t="n">
        <f aca="false">IF(AO59&gt;0,Исходные!$C$39/1000,0)</f>
        <v>0.04</v>
      </c>
      <c r="AP64" s="54" t="n">
        <f aca="false">IF(AP59&gt;0,Исходные!$C$39/1000,0)</f>
        <v>0.04</v>
      </c>
      <c r="AQ64" s="54" t="n">
        <f aca="false">IF(AQ59&gt;0,Исходные!$C$39/1000,0)</f>
        <v>0.04</v>
      </c>
      <c r="AR64" s="54" t="n">
        <f aca="false">IF(AR59&gt;0,Исходные!$C$39/1000,0)</f>
        <v>0.04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1.02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0.03</v>
      </c>
      <c r="L65" s="54" t="n">
        <f aca="false">IF(L59&gt;0,Исходные!$C$40/1000,0)</f>
        <v>0.03</v>
      </c>
      <c r="M65" s="54" t="n">
        <f aca="false">IF(M59&gt;0,Исходные!$C$40/1000,0)</f>
        <v>0.03</v>
      </c>
      <c r="N65" s="54" t="n">
        <f aca="false">IF(N59&gt;0,Исходные!$C$40/1000,0)</f>
        <v>0.03</v>
      </c>
      <c r="O65" s="54" t="n">
        <f aca="false">IF(O59&gt;0,Исходные!$C$40/1000,0)</f>
        <v>0.03</v>
      </c>
      <c r="P65" s="54" t="n">
        <f aca="false">IF(P59&gt;0,Исходные!$C$40/1000,0)</f>
        <v>0.03</v>
      </c>
      <c r="Q65" s="54" t="n">
        <f aca="false">IF(Q59&gt;0,Исходные!$C$40/1000,0)</f>
        <v>0.03</v>
      </c>
      <c r="R65" s="54" t="n">
        <f aca="false">IF(R59&gt;0,Исходные!$C$40/1000,0)</f>
        <v>0.03</v>
      </c>
      <c r="S65" s="54" t="n">
        <f aca="false">IF(S59&gt;0,Исходные!$C$40/1000,0)</f>
        <v>0.03</v>
      </c>
      <c r="T65" s="54" t="n">
        <f aca="false">IF(T59&gt;0,Исходные!$C$40/1000,0)</f>
        <v>0.03</v>
      </c>
      <c r="U65" s="54" t="n">
        <f aca="false">IF(U59&gt;0,Исходные!$C$40/1000,0)</f>
        <v>0.03</v>
      </c>
      <c r="V65" s="54" t="n">
        <f aca="false">IF(V59&gt;0,Исходные!$C$40/1000,0)</f>
        <v>0.03</v>
      </c>
      <c r="W65" s="54" t="n">
        <f aca="false">IF(W59&gt;0,Исходные!$C$40/1000,0)</f>
        <v>0.03</v>
      </c>
      <c r="X65" s="54" t="n">
        <f aca="false">IF(X59&gt;0,Исходные!$C$40/1000,0)</f>
        <v>0.03</v>
      </c>
      <c r="Y65" s="54" t="n">
        <f aca="false">IF(Y59&gt;0,Исходные!$C$40/1000,0)</f>
        <v>0.03</v>
      </c>
      <c r="Z65" s="54" t="n">
        <f aca="false">IF(Z59&gt;0,Исходные!$C$40/1000,0)</f>
        <v>0.03</v>
      </c>
      <c r="AA65" s="54" t="n">
        <f aca="false">IF(AA59&gt;0,Исходные!$C$40/1000,0)</f>
        <v>0.03</v>
      </c>
      <c r="AB65" s="54" t="n">
        <f aca="false">IF(AB59&gt;0,Исходные!$C$40/1000,0)</f>
        <v>0.03</v>
      </c>
      <c r="AC65" s="54" t="n">
        <f aca="false">IF(AC59&gt;0,Исходные!$C$40/1000,0)</f>
        <v>0.03</v>
      </c>
      <c r="AD65" s="54" t="n">
        <f aca="false">IF(AD59&gt;0,Исходные!$C$40/1000,0)</f>
        <v>0.03</v>
      </c>
      <c r="AE65" s="54" t="n">
        <f aca="false">IF(AE59&gt;0,Исходные!$C$40/1000,0)</f>
        <v>0.03</v>
      </c>
      <c r="AF65" s="54" t="n">
        <f aca="false">IF(AF59&gt;0,Исходные!$C$40/1000,0)</f>
        <v>0.03</v>
      </c>
      <c r="AG65" s="54" t="n">
        <f aca="false">IF(AG59&gt;0,Исходные!$C$40/1000,0)</f>
        <v>0.03</v>
      </c>
      <c r="AH65" s="54" t="n">
        <f aca="false">IF(AH59&gt;0,Исходные!$C$40/1000,0)</f>
        <v>0.03</v>
      </c>
      <c r="AI65" s="54" t="n">
        <f aca="false">IF(AI59&gt;0,Исходные!$C$40/1000,0)</f>
        <v>0.03</v>
      </c>
      <c r="AJ65" s="54" t="n">
        <f aca="false">IF(AJ59&gt;0,Исходные!$C$40/1000,0)</f>
        <v>0.03</v>
      </c>
      <c r="AK65" s="54" t="n">
        <f aca="false">IF(AK59&gt;0,Исходные!$C$40/1000,0)</f>
        <v>0.03</v>
      </c>
      <c r="AL65" s="54" t="n">
        <f aca="false">IF(AL59&gt;0,Исходные!$C$40/1000,0)</f>
        <v>0.03</v>
      </c>
      <c r="AM65" s="54" t="n">
        <f aca="false">IF(AM59&gt;0,Исходные!$C$40/1000,0)</f>
        <v>0.03</v>
      </c>
      <c r="AN65" s="54" t="n">
        <f aca="false">IF(AN59&gt;0,Исходные!$C$40/1000,0)</f>
        <v>0.03</v>
      </c>
      <c r="AO65" s="54" t="n">
        <f aca="false">IF(AO59&gt;0,Исходные!$C$40/1000,0)</f>
        <v>0.03</v>
      </c>
      <c r="AP65" s="54" t="n">
        <f aca="false">IF(AP59&gt;0,Исходные!$C$40/1000,0)</f>
        <v>0.03</v>
      </c>
      <c r="AQ65" s="54" t="n">
        <f aca="false">IF(AQ59&gt;0,Исходные!$C$40/1000,0)</f>
        <v>0.03</v>
      </c>
      <c r="AR65" s="54" t="n">
        <f aca="false">IF(AR59&gt;0,Исходные!$C$40/1000,0)</f>
        <v>0.03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0.221092896174863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0.00650273224043716</v>
      </c>
      <c r="L66" s="54" t="n">
        <f aca="false">IF(L59&gt;0,$D$43-L64-L65,0)</f>
        <v>0.00650273224043716</v>
      </c>
      <c r="M66" s="54" t="n">
        <f aca="false">IF(M59&gt;0,$D$43-M64-M65,0)</f>
        <v>0.00650273224043716</v>
      </c>
      <c r="N66" s="54" t="n">
        <f aca="false">IF(N59&gt;0,$D$43-N64-N65,0)</f>
        <v>0.00650273224043716</v>
      </c>
      <c r="O66" s="54" t="n">
        <f aca="false">IF(O59&gt;0,$D$43-O64-O65,0)</f>
        <v>0.00650273224043716</v>
      </c>
      <c r="P66" s="54" t="n">
        <f aca="false">IF(P59&gt;0,$D$43-P64-P65,0)</f>
        <v>0.00650273224043716</v>
      </c>
      <c r="Q66" s="54" t="n">
        <f aca="false">IF(Q59&gt;0,$D$43-Q64-Q65,0)</f>
        <v>0.00650273224043716</v>
      </c>
      <c r="R66" s="54" t="n">
        <f aca="false">IF(R59&gt;0,$D$43-R64-R65,0)</f>
        <v>0.00650273224043716</v>
      </c>
      <c r="S66" s="54" t="n">
        <f aca="false">IF(S59&gt;0,$D$43-S64-S65,0)</f>
        <v>0.00650273224043716</v>
      </c>
      <c r="T66" s="54" t="n">
        <f aca="false">IF(T59&gt;0,$D$43-T64-T65,0)</f>
        <v>0.00650273224043716</v>
      </c>
      <c r="U66" s="54" t="n">
        <f aca="false">IF(U59&gt;0,$D$43-U64-U65,0)</f>
        <v>0.00650273224043716</v>
      </c>
      <c r="V66" s="54" t="n">
        <f aca="false">IF(V59&gt;0,$D$43-V64-V65,0)</f>
        <v>0.00650273224043716</v>
      </c>
      <c r="W66" s="54" t="n">
        <f aca="false">IF(W59&gt;0,$D$43-W64-W65,0)</f>
        <v>0.00650273224043716</v>
      </c>
      <c r="X66" s="54" t="n">
        <f aca="false">IF(X59&gt;0,$D$43-X64-X65,0)</f>
        <v>0.00650273224043716</v>
      </c>
      <c r="Y66" s="54" t="n">
        <f aca="false">IF(Y59&gt;0,$D$43-Y64-Y65,0)</f>
        <v>0.00650273224043716</v>
      </c>
      <c r="Z66" s="54" t="n">
        <f aca="false">IF(Z59&gt;0,$D$43-Z64-Z65,0)</f>
        <v>0.00650273224043716</v>
      </c>
      <c r="AA66" s="54" t="n">
        <f aca="false">IF(AA59&gt;0,$D$43-AA64-AA65,0)</f>
        <v>0.00650273224043716</v>
      </c>
      <c r="AB66" s="54" t="n">
        <f aca="false">IF(AB59&gt;0,$D$43-AB64-AB65,0)</f>
        <v>0.00650273224043716</v>
      </c>
      <c r="AC66" s="54" t="n">
        <f aca="false">IF(AC59&gt;0,$D$43-AC64-AC65,0)</f>
        <v>0.00650273224043716</v>
      </c>
      <c r="AD66" s="54" t="n">
        <f aca="false">IF(AD59&gt;0,$D$43-AD64-AD65,0)</f>
        <v>0.00650273224043716</v>
      </c>
      <c r="AE66" s="54" t="n">
        <f aca="false">IF(AE59&gt;0,$D$43-AE64-AE65,0)</f>
        <v>0.00650273224043716</v>
      </c>
      <c r="AF66" s="54" t="n">
        <f aca="false">IF(AF59&gt;0,$D$43-AF64-AF65,0)</f>
        <v>0.00650273224043716</v>
      </c>
      <c r="AG66" s="54" t="n">
        <f aca="false">IF(AG59&gt;0,$D$43-AG64-AG65,0)</f>
        <v>0.00650273224043716</v>
      </c>
      <c r="AH66" s="54" t="n">
        <f aca="false">IF(AH59&gt;0,$D$43-AH64-AH65,0)</f>
        <v>0.00650273224043716</v>
      </c>
      <c r="AI66" s="54" t="n">
        <f aca="false">IF(AI59&gt;0,$D$43-AI64-AI65,0)</f>
        <v>0.00650273224043716</v>
      </c>
      <c r="AJ66" s="54" t="n">
        <f aca="false">IF(AJ59&gt;0,$D$43-AJ64-AJ65,0)</f>
        <v>0.00650273224043716</v>
      </c>
      <c r="AK66" s="54" t="n">
        <f aca="false">IF(AK59&gt;0,$D$43-AK64-AK65,0)</f>
        <v>0.00650273224043716</v>
      </c>
      <c r="AL66" s="54" t="n">
        <f aca="false">IF(AL59&gt;0,$D$43-AL64-AL65,0)</f>
        <v>0.00650273224043716</v>
      </c>
      <c r="AM66" s="54" t="n">
        <f aca="false">IF(AM59&gt;0,$D$43-AM64-AM65,0)</f>
        <v>0.00650273224043716</v>
      </c>
      <c r="AN66" s="54" t="n">
        <f aca="false">IF(AN59&gt;0,$D$43-AN64-AN65,0)</f>
        <v>0.00650273224043716</v>
      </c>
      <c r="AO66" s="54" t="n">
        <f aca="false">IF(AO59&gt;0,$D$43-AO64-AO65,0)</f>
        <v>0.00650273224043716</v>
      </c>
      <c r="AP66" s="54" t="n">
        <f aca="false">IF(AP59&gt;0,$D$43-AP64-AP65,0)</f>
        <v>0.00650273224043716</v>
      </c>
      <c r="AQ66" s="54" t="n">
        <f aca="false">IF(AQ59&gt;0,$D$43-AQ64-AQ65,0)</f>
        <v>0.00650273224043716</v>
      </c>
      <c r="AR66" s="54" t="n">
        <f aca="false">IF(AR59&gt;0,$D$43-AR64-AR65,0)</f>
        <v>0.00650273224043716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1337.96209485499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21.5930689849021</v>
      </c>
      <c r="J68" s="15" t="n">
        <f aca="false">J60*$D$39/1000</f>
        <v>43.1861379698041</v>
      </c>
      <c r="K68" s="15" t="n">
        <f aca="false">K60*$D$39/1000</f>
        <v>59.4900550378332</v>
      </c>
      <c r="L68" s="15" t="n">
        <f aca="false">L60*$D$39/1000</f>
        <v>59.4900550378332</v>
      </c>
      <c r="M68" s="15" t="n">
        <f aca="false">M60*$D$39/1000</f>
        <v>59.4900550378332</v>
      </c>
      <c r="N68" s="15" t="n">
        <f aca="false">N60*$D$39/1000</f>
        <v>59.4900550378332</v>
      </c>
      <c r="O68" s="15" t="n">
        <f aca="false">O60*$D$39/1000</f>
        <v>59.4900550378332</v>
      </c>
      <c r="P68" s="15" t="n">
        <f aca="false">P60*$D$39/1000</f>
        <v>58.5646377956231</v>
      </c>
      <c r="Q68" s="15" t="n">
        <f aca="false">Q60*$D$39/1000</f>
        <v>58.5646377956231</v>
      </c>
      <c r="R68" s="15" t="n">
        <f aca="false">R60*$D$39/1000</f>
        <v>58.5646377956231</v>
      </c>
      <c r="S68" s="15" t="n">
        <f aca="false">S60*$D$39/1000</f>
        <v>58.5646377956231</v>
      </c>
      <c r="T68" s="15" t="n">
        <f aca="false">T60*$D$39/1000</f>
        <v>58.5646377956231</v>
      </c>
      <c r="U68" s="15" t="n">
        <f aca="false">U60*$D$39/1000</f>
        <v>58.5646377956231</v>
      </c>
      <c r="V68" s="15" t="n">
        <f aca="false">V60*$D$39/1000</f>
        <v>54.4425231923337</v>
      </c>
      <c r="W68" s="15" t="n">
        <f aca="false">W60*$D$39/1000</f>
        <v>50.605816812693</v>
      </c>
      <c r="X68" s="15" t="n">
        <f aca="false">X60*$D$39/1000</f>
        <v>47.0347574753738</v>
      </c>
      <c r="Y68" s="15" t="n">
        <f aca="false">Y60*$D$39/1000</f>
        <v>43.7109522297274</v>
      </c>
      <c r="Z68" s="15" t="n">
        <f aca="false">Z60*$D$39/1000</f>
        <v>40.6172816218121</v>
      </c>
      <c r="AA68" s="15" t="n">
        <f aca="false">AA60*$D$39/1000</f>
        <v>37.7378115196406</v>
      </c>
      <c r="AB68" s="15" t="n">
        <f aca="false">AB60*$D$39/1000</f>
        <v>35.057711043499</v>
      </c>
      <c r="AC68" s="15" t="n">
        <f aca="false">AC60*$D$39/1000</f>
        <v>32.56317617863</v>
      </c>
      <c r="AD68" s="15" t="n">
        <f aca="false">AD60*$D$39/1000</f>
        <v>30.2413586768454</v>
      </c>
      <c r="AE68" s="15" t="n">
        <f aca="false">AE60*$D$39/1000</f>
        <v>28.0802998808696</v>
      </c>
      <c r="AF68" s="15" t="n">
        <f aca="false">AF60*$D$39/1000</f>
        <v>26.0688691305738</v>
      </c>
      <c r="AG68" s="15" t="n">
        <f aca="false">AG60*$D$39/1000</f>
        <v>24.1967064338581</v>
      </c>
      <c r="AH68" s="15" t="n">
        <f aca="false">AH60*$D$39/1000</f>
        <v>22.454169106904</v>
      </c>
      <c r="AI68" s="15" t="n">
        <f aca="false">AI60*$D$39/1000</f>
        <v>20.8322821089655</v>
      </c>
      <c r="AJ68" s="15" t="n">
        <f aca="false">AJ60*$D$39/1000</f>
        <v>19.3226918158956</v>
      </c>
      <c r="AK68" s="15" t="n">
        <f aca="false">AK60*$D$39/1000</f>
        <v>17.9176229943148</v>
      </c>
      <c r="AL68" s="15" t="n">
        <f aca="false">AL60*$D$39/1000</f>
        <v>16.6098387548151</v>
      </c>
      <c r="AM68" s="15" t="n">
        <f aca="false">AM60*$D$39/1000</f>
        <v>15.3926032779367</v>
      </c>
      <c r="AN68" s="15" t="n">
        <f aca="false">AN60*$D$39/1000</f>
        <v>14.2596471209347</v>
      </c>
      <c r="AO68" s="15" t="n">
        <f aca="false">AO60*$D$39/1000</f>
        <v>13.2051349266463</v>
      </c>
      <c r="AP68" s="15" t="n">
        <f aca="false">AP60*$D$39/1000</f>
        <v>12.2236353681413</v>
      </c>
      <c r="AQ68" s="15" t="n">
        <f aca="false">AQ60*$D$39/1000</f>
        <v>11.3100931743543</v>
      </c>
      <c r="AR68" s="15" t="n">
        <f aca="false">AR60*$D$39/1000</f>
        <v>10.459803092614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420.23321041619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6.48865493513433</v>
      </c>
      <c r="J69" s="15" t="n">
        <f aca="false">(J61+J66)*$D$40/1000</f>
        <v>12.9773098702687</v>
      </c>
      <c r="K69" s="15" t="n">
        <f aca="false">(K61+K66)*$D$40/1000</f>
        <v>18.4112799385947</v>
      </c>
      <c r="L69" s="15" t="n">
        <f aca="false">(L61+L66)*$D$40/1000</f>
        <v>18.4112799385947</v>
      </c>
      <c r="M69" s="15" t="n">
        <f aca="false">(M61+M66)*$D$40/1000</f>
        <v>18.4112799385947</v>
      </c>
      <c r="N69" s="15" t="n">
        <f aca="false">(N61+N66)*$D$40/1000</f>
        <v>18.4112799385947</v>
      </c>
      <c r="O69" s="15" t="n">
        <f aca="false">(O61+O66)*$D$40/1000</f>
        <v>18.4112799385947</v>
      </c>
      <c r="P69" s="15" t="n">
        <f aca="false">(P61+P66)*$D$40/1000</f>
        <v>18.1331947270889</v>
      </c>
      <c r="Q69" s="15" t="n">
        <f aca="false">(Q61+Q66)*$D$40/1000</f>
        <v>18.1331947270889</v>
      </c>
      <c r="R69" s="15" t="n">
        <f aca="false">(R61+R66)*$D$40/1000</f>
        <v>18.1331947270889</v>
      </c>
      <c r="S69" s="15" t="n">
        <f aca="false">(S61+S66)*$D$40/1000</f>
        <v>18.1331947270889</v>
      </c>
      <c r="T69" s="15" t="n">
        <f aca="false">(T61+T66)*$D$40/1000</f>
        <v>18.1331947270889</v>
      </c>
      <c r="U69" s="15" t="n">
        <f aca="false">(U61+U66)*$D$40/1000</f>
        <v>18.1331947270889</v>
      </c>
      <c r="V69" s="15" t="n">
        <f aca="false">(V61+V66)*$D$40/1000</f>
        <v>16.8945111808768</v>
      </c>
      <c r="W69" s="15" t="n">
        <f aca="false">(W61+W66)*$D$40/1000</f>
        <v>15.7415919824838</v>
      </c>
      <c r="X69" s="15" t="n">
        <f aca="false">(X61+X66)*$D$40/1000</f>
        <v>14.6684989539312</v>
      </c>
      <c r="Y69" s="15" t="n">
        <f aca="false">(Y61+Y66)*$D$40/1000</f>
        <v>13.6697050666117</v>
      </c>
      <c r="Z69" s="15" t="n">
        <f aca="false">(Z61+Z66)*$D$40/1000</f>
        <v>12.7400659740045</v>
      </c>
      <c r="AA69" s="15" t="n">
        <f aca="false">(AA61+AA66)*$D$40/1000</f>
        <v>11.8747935154165</v>
      </c>
      <c r="AB69" s="15" t="n">
        <f aca="false">(AB61+AB66)*$D$40/1000</f>
        <v>11.0694310542799</v>
      </c>
      <c r="AC69" s="15" t="n">
        <f aca="false">(AC61+AC66)*$D$40/1000</f>
        <v>10.3198305239841</v>
      </c>
      <c r="AD69" s="15" t="n">
        <f aca="false">(AD61+AD66)*$D$40/1000</f>
        <v>9.62213106301491</v>
      </c>
      <c r="AE69" s="15" t="n">
        <f aca="false">(AE61+AE66)*$D$40/1000</f>
        <v>8.97273912936118</v>
      </c>
      <c r="AF69" s="15" t="n">
        <f aca="false">(AF61+AF66)*$D$40/1000</f>
        <v>8.36830999176554</v>
      </c>
      <c r="AG69" s="15" t="n">
        <f aca="false">(AG61+AG66)*$D$40/1000</f>
        <v>7.80573050248996</v>
      </c>
      <c r="AH69" s="15" t="n">
        <f aca="false">(AH61+AH66)*$D$40/1000</f>
        <v>7.28210306286557</v>
      </c>
      <c r="AI69" s="15" t="n">
        <f aca="false">(AI61+AI66)*$D$40/1000</f>
        <v>6.79473069904077</v>
      </c>
      <c r="AJ69" s="15" t="n">
        <f aca="false">(AJ61+AJ66)*$D$40/1000</f>
        <v>6.34110317105911</v>
      </c>
      <c r="AK69" s="15" t="n">
        <f aca="false">(AK61+AK66)*$D$40/1000</f>
        <v>5.91888404372115</v>
      </c>
      <c r="AL69" s="15" t="n">
        <f aca="false">(AL61+AL66)*$D$40/1000</f>
        <v>5.52589865263783</v>
      </c>
      <c r="AM69" s="15" t="n">
        <f aca="false">(AM61+AM66)*$D$40/1000</f>
        <v>5.16012290349397</v>
      </c>
      <c r="AN69" s="15" t="n">
        <f aca="false">(AN61+AN66)*$D$40/1000</f>
        <v>4.81967284683172</v>
      </c>
      <c r="AO69" s="15" t="n">
        <f aca="false">(AO61+AO66)*$D$40/1000</f>
        <v>4.50279497465834</v>
      </c>
      <c r="AP69" s="15" t="n">
        <f aca="false">(AP61+AP66)*$D$40/1000</f>
        <v>4.20785718890041</v>
      </c>
      <c r="AQ69" s="15" t="n">
        <f aca="false">(AQ61+AQ66)*$D$40/1000</f>
        <v>3.93334039518691</v>
      </c>
      <c r="AR69" s="15" t="n">
        <f aca="false">(AR61+AR66)*$D$40/1000</f>
        <v>3.67783067866456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54.4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1.6</v>
      </c>
      <c r="L71" s="15" t="n">
        <f aca="false">L64*$D$23/1000</f>
        <v>1.6</v>
      </c>
      <c r="M71" s="15" t="n">
        <f aca="false">M64*$D$23/1000</f>
        <v>1.6</v>
      </c>
      <c r="N71" s="15" t="n">
        <f aca="false">N64*$D$23/1000</f>
        <v>1.6</v>
      </c>
      <c r="O71" s="15" t="n">
        <f aca="false">O64*$D$23/1000</f>
        <v>1.6</v>
      </c>
      <c r="P71" s="15" t="n">
        <f aca="false">P64*$D$23/1000</f>
        <v>1.6</v>
      </c>
      <c r="Q71" s="15" t="n">
        <f aca="false">Q64*$D$23/1000</f>
        <v>1.6</v>
      </c>
      <c r="R71" s="15" t="n">
        <f aca="false">R64*$D$23/1000</f>
        <v>1.6</v>
      </c>
      <c r="S71" s="15" t="n">
        <f aca="false">S64*$D$23/1000</f>
        <v>1.6</v>
      </c>
      <c r="T71" s="15" t="n">
        <f aca="false">T64*$D$23/1000</f>
        <v>1.6</v>
      </c>
      <c r="U71" s="15" t="n">
        <f aca="false">U64*$D$23/1000</f>
        <v>1.6</v>
      </c>
      <c r="V71" s="15" t="n">
        <f aca="false">V64*$D$23/1000</f>
        <v>1.6</v>
      </c>
      <c r="W71" s="15" t="n">
        <f aca="false">W64*$D$23/1000</f>
        <v>1.6</v>
      </c>
      <c r="X71" s="15" t="n">
        <f aca="false">X64*$D$23/1000</f>
        <v>1.6</v>
      </c>
      <c r="Y71" s="15" t="n">
        <f aca="false">Y64*$D$23/1000</f>
        <v>1.6</v>
      </c>
      <c r="Z71" s="15" t="n">
        <f aca="false">Z64*$D$23/1000</f>
        <v>1.6</v>
      </c>
      <c r="AA71" s="15" t="n">
        <f aca="false">AA64*$D$23/1000</f>
        <v>1.6</v>
      </c>
      <c r="AB71" s="15" t="n">
        <f aca="false">AB64*$D$23/1000</f>
        <v>1.6</v>
      </c>
      <c r="AC71" s="15" t="n">
        <f aca="false">AC64*$D$23/1000</f>
        <v>1.6</v>
      </c>
      <c r="AD71" s="15" t="n">
        <f aca="false">AD64*$D$23/1000</f>
        <v>1.6</v>
      </c>
      <c r="AE71" s="15" t="n">
        <f aca="false">AE64*$D$23/1000</f>
        <v>1.6</v>
      </c>
      <c r="AF71" s="15" t="n">
        <f aca="false">AF64*$D$23/1000</f>
        <v>1.6</v>
      </c>
      <c r="AG71" s="15" t="n">
        <f aca="false">AG64*$D$23/1000</f>
        <v>1.6</v>
      </c>
      <c r="AH71" s="15" t="n">
        <f aca="false">AH64*$D$23/1000</f>
        <v>1.6</v>
      </c>
      <c r="AI71" s="15" t="n">
        <f aca="false">AI64*$D$23/1000</f>
        <v>1.6</v>
      </c>
      <c r="AJ71" s="15" t="n">
        <f aca="false">AJ64*$D$23/1000</f>
        <v>1.6</v>
      </c>
      <c r="AK71" s="15" t="n">
        <f aca="false">AK64*$D$23/1000</f>
        <v>1.6</v>
      </c>
      <c r="AL71" s="15" t="n">
        <f aca="false">AL64*$D$23/1000</f>
        <v>1.6</v>
      </c>
      <c r="AM71" s="15" t="n">
        <f aca="false">AM64*$D$23/1000</f>
        <v>1.6</v>
      </c>
      <c r="AN71" s="15" t="n">
        <f aca="false">AN64*$D$23/1000</f>
        <v>1.6</v>
      </c>
      <c r="AO71" s="15" t="n">
        <f aca="false">AO64*$D$23/1000</f>
        <v>1.6</v>
      </c>
      <c r="AP71" s="15" t="n">
        <f aca="false">AP64*$D$23/1000</f>
        <v>1.6</v>
      </c>
      <c r="AQ71" s="15" t="n">
        <f aca="false">AQ64*$D$23/1000</f>
        <v>1.6</v>
      </c>
      <c r="AR71" s="15" t="n">
        <f aca="false">AR64*$D$23/1000</f>
        <v>1.6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48.45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1.425</v>
      </c>
      <c r="L72" s="15" t="n">
        <f aca="false">L65*$D$24/1000</f>
        <v>1.425</v>
      </c>
      <c r="M72" s="15" t="n">
        <f aca="false">M65*$D$24/1000</f>
        <v>1.425</v>
      </c>
      <c r="N72" s="15" t="n">
        <f aca="false">N65*$D$24/1000</f>
        <v>1.425</v>
      </c>
      <c r="O72" s="15" t="n">
        <f aca="false">O65*$D$24/1000</f>
        <v>1.425</v>
      </c>
      <c r="P72" s="15" t="n">
        <f aca="false">P65*$D$24/1000</f>
        <v>1.425</v>
      </c>
      <c r="Q72" s="15" t="n">
        <f aca="false">Q65*$D$24/1000</f>
        <v>1.425</v>
      </c>
      <c r="R72" s="15" t="n">
        <f aca="false">R65*$D$24/1000</f>
        <v>1.425</v>
      </c>
      <c r="S72" s="15" t="n">
        <f aca="false">S65*$D$24/1000</f>
        <v>1.425</v>
      </c>
      <c r="T72" s="15" t="n">
        <f aca="false">T65*$D$24/1000</f>
        <v>1.425</v>
      </c>
      <c r="U72" s="15" t="n">
        <f aca="false">U65*$D$24/1000</f>
        <v>1.425</v>
      </c>
      <c r="V72" s="15" t="n">
        <f aca="false">V65*$D$24/1000</f>
        <v>1.425</v>
      </c>
      <c r="W72" s="15" t="n">
        <f aca="false">W65*$D$24/1000</f>
        <v>1.425</v>
      </c>
      <c r="X72" s="15" t="n">
        <f aca="false">X65*$D$24/1000</f>
        <v>1.425</v>
      </c>
      <c r="Y72" s="15" t="n">
        <f aca="false">Y65*$D$24/1000</f>
        <v>1.425</v>
      </c>
      <c r="Z72" s="15" t="n">
        <f aca="false">Z65*$D$24/1000</f>
        <v>1.425</v>
      </c>
      <c r="AA72" s="15" t="n">
        <f aca="false">AA65*$D$24/1000</f>
        <v>1.425</v>
      </c>
      <c r="AB72" s="15" t="n">
        <f aca="false">AB65*$D$24/1000</f>
        <v>1.425</v>
      </c>
      <c r="AC72" s="15" t="n">
        <f aca="false">AC65*$D$24/1000</f>
        <v>1.425</v>
      </c>
      <c r="AD72" s="15" t="n">
        <f aca="false">AD65*$D$24/1000</f>
        <v>1.425</v>
      </c>
      <c r="AE72" s="15" t="n">
        <f aca="false">AE65*$D$24/1000</f>
        <v>1.425</v>
      </c>
      <c r="AF72" s="15" t="n">
        <f aca="false">AF65*$D$24/1000</f>
        <v>1.425</v>
      </c>
      <c r="AG72" s="15" t="n">
        <f aca="false">AG65*$D$24/1000</f>
        <v>1.425</v>
      </c>
      <c r="AH72" s="15" t="n">
        <f aca="false">AH65*$D$24/1000</f>
        <v>1.425</v>
      </c>
      <c r="AI72" s="15" t="n">
        <f aca="false">AI65*$D$24/1000</f>
        <v>1.425</v>
      </c>
      <c r="AJ72" s="15" t="n">
        <f aca="false">AJ65*$D$24/1000</f>
        <v>1.425</v>
      </c>
      <c r="AK72" s="15" t="n">
        <f aca="false">AK65*$D$24/1000</f>
        <v>1.425</v>
      </c>
      <c r="AL72" s="15" t="n">
        <f aca="false">AL65*$D$24/1000</f>
        <v>1.425</v>
      </c>
      <c r="AM72" s="15" t="n">
        <f aca="false">AM65*$D$24/1000</f>
        <v>1.425</v>
      </c>
      <c r="AN72" s="15" t="n">
        <f aca="false">AN65*$D$24/1000</f>
        <v>1.425</v>
      </c>
      <c r="AO72" s="15" t="n">
        <f aca="false">AO65*$D$24/1000</f>
        <v>1.425</v>
      </c>
      <c r="AP72" s="15" t="n">
        <f aca="false">AP65*$D$24/1000</f>
        <v>1.425</v>
      </c>
      <c r="AQ72" s="15" t="n">
        <f aca="false">AQ65*$D$24/1000</f>
        <v>1.425</v>
      </c>
      <c r="AR72" s="15" t="n">
        <f aca="false">AR65*$D$24/1000</f>
        <v>1.425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1861.04530527118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28.0817239200364</v>
      </c>
      <c r="J73" s="15" t="n">
        <f aca="false">SUM(J68:J72)</f>
        <v>56.1634478400728</v>
      </c>
      <c r="K73" s="15" t="n">
        <f aca="false">SUM(K68:K72)</f>
        <v>80.9263349764279</v>
      </c>
      <c r="L73" s="15" t="n">
        <f aca="false">SUM(L68:L72)</f>
        <v>80.9263349764279</v>
      </c>
      <c r="M73" s="15" t="n">
        <f aca="false">SUM(M68:M72)</f>
        <v>80.9263349764279</v>
      </c>
      <c r="N73" s="15" t="n">
        <f aca="false">SUM(N68:N72)</f>
        <v>80.9263349764279</v>
      </c>
      <c r="O73" s="15" t="n">
        <f aca="false">SUM(O68:O72)</f>
        <v>80.9263349764279</v>
      </c>
      <c r="P73" s="15" t="n">
        <f aca="false">SUM(P68:P72)</f>
        <v>79.722832522712</v>
      </c>
      <c r="Q73" s="15" t="n">
        <f aca="false">SUM(Q68:Q72)</f>
        <v>79.722832522712</v>
      </c>
      <c r="R73" s="15" t="n">
        <f aca="false">SUM(R68:R72)</f>
        <v>79.722832522712</v>
      </c>
      <c r="S73" s="15" t="n">
        <f aca="false">SUM(S68:S72)</f>
        <v>79.722832522712</v>
      </c>
      <c r="T73" s="15" t="n">
        <f aca="false">SUM(T68:T72)</f>
        <v>79.722832522712</v>
      </c>
      <c r="U73" s="15" t="n">
        <f aca="false">SUM(U68:U72)</f>
        <v>79.722832522712</v>
      </c>
      <c r="V73" s="15" t="n">
        <f aca="false">SUM(V68:V72)</f>
        <v>74.3620343732105</v>
      </c>
      <c r="W73" s="15" t="n">
        <f aca="false">SUM(W68:W72)</f>
        <v>69.3724087951768</v>
      </c>
      <c r="X73" s="15" t="n">
        <f aca="false">SUM(X68:X72)</f>
        <v>64.728256429305</v>
      </c>
      <c r="Y73" s="15" t="n">
        <f aca="false">SUM(Y68:Y72)</f>
        <v>60.4056572963391</v>
      </c>
      <c r="Z73" s="15" t="n">
        <f aca="false">SUM(Z68:Z72)</f>
        <v>56.3823475958165</v>
      </c>
      <c r="AA73" s="15" t="n">
        <f aca="false">SUM(AA68:AA72)</f>
        <v>52.6376050350571</v>
      </c>
      <c r="AB73" s="15" t="n">
        <f aca="false">SUM(AB68:AB72)</f>
        <v>49.1521420977789</v>
      </c>
      <c r="AC73" s="15" t="n">
        <f aca="false">SUM(AC68:AC72)</f>
        <v>45.9080067026141</v>
      </c>
      <c r="AD73" s="15" t="n">
        <f aca="false">SUM(AD68:AD72)</f>
        <v>42.8884897398603</v>
      </c>
      <c r="AE73" s="15" t="n">
        <f aca="false">SUM(AE68:AE72)</f>
        <v>40.0780390102307</v>
      </c>
      <c r="AF73" s="15" t="n">
        <f aca="false">SUM(AF68:AF72)</f>
        <v>37.4621791223394</v>
      </c>
      <c r="AG73" s="15" t="n">
        <f aca="false">SUM(AG68:AG72)</f>
        <v>35.0274369363481</v>
      </c>
      <c r="AH73" s="15" t="n">
        <f aca="false">SUM(AH68:AH72)</f>
        <v>32.7612721697695</v>
      </c>
      <c r="AI73" s="15" t="n">
        <f aca="false">SUM(AI68:AI72)</f>
        <v>30.6520128080062</v>
      </c>
      <c r="AJ73" s="15" t="n">
        <f aca="false">SUM(AJ68:AJ72)</f>
        <v>28.6887949869548</v>
      </c>
      <c r="AK73" s="15" t="n">
        <f aca="false">SUM(AK68:AK72)</f>
        <v>26.861507038036</v>
      </c>
      <c r="AL73" s="15" t="n">
        <f aca="false">SUM(AL68:AL72)</f>
        <v>25.1607374074529</v>
      </c>
      <c r="AM73" s="15" t="n">
        <f aca="false">SUM(AM68:AM72)</f>
        <v>23.5777261814306</v>
      </c>
      <c r="AN73" s="15" t="n">
        <f aca="false">SUM(AN68:AN72)</f>
        <v>22.1043199677664</v>
      </c>
      <c r="AO73" s="15" t="n">
        <f aca="false">SUM(AO68:AO72)</f>
        <v>20.7329299013046</v>
      </c>
      <c r="AP73" s="15" t="n">
        <f aca="false">SUM(AP68:AP72)</f>
        <v>19.4564925570418</v>
      </c>
      <c r="AQ73" s="15" t="n">
        <f aca="false">SUM(AQ68:AQ72)</f>
        <v>18.2684335695412</v>
      </c>
      <c r="AR73" s="15" t="n">
        <f aca="false">SUM(AR68:AR72)</f>
        <v>17.1626337712786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240.233065349912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2.51943505524055</v>
      </c>
      <c r="J74" s="15" t="n">
        <f aca="false">J52*$D$37/1000*(Исходные!$C$23+Исходные!$C$24*J56)/1000+Исходные!$C$25*J56*(J69+J70)</f>
        <v>5.30713760997694</v>
      </c>
      <c r="K74" s="15" t="n">
        <f aca="false">K52*$D$37/1000*(Исходные!$C$23+Исходные!$C$24*K56)/1000+Исходные!$C$25*K56*(K69+K70)</f>
        <v>7.8180354192291</v>
      </c>
      <c r="L74" s="15" t="n">
        <f aca="false">L52*$D$37/1000*(Исходные!$C$23+Исходные!$C$24*L56)/1000+Исходные!$C$25*L56*(L69+L70)</f>
        <v>8.19601607511343</v>
      </c>
      <c r="M74" s="15" t="n">
        <f aca="false">M52*$D$37/1000*(Исходные!$C$23+Исходные!$C$24*M56)/1000+Исходные!$C$25*M56*(M69+M70)</f>
        <v>8.57399673099777</v>
      </c>
      <c r="N74" s="15" t="n">
        <f aca="false">N52*$D$37/1000*(Исходные!$C$23+Исходные!$C$24*N56)/1000+Исходные!$C$25*N56*(N69+N70)</f>
        <v>8.9519773868821</v>
      </c>
      <c r="O74" s="15" t="n">
        <f aca="false">O52*$D$37/1000*(Исходные!$C$23+Исходные!$C$24*O56)/1000+Исходные!$C$25*O56*(O69+O70)</f>
        <v>9.32995804276643</v>
      </c>
      <c r="P74" s="15" t="n">
        <f aca="false">P52*$D$37/1000*(Исходные!$C$23+Исходные!$C$24*P56)/1000+Исходные!$C$25*P56*(P69+P70)</f>
        <v>9.67990770933099</v>
      </c>
      <c r="Q74" s="15" t="n">
        <f aca="false">Q52*$D$37/1000*(Исходные!$C$23+Исходные!$C$24*Q56)/1000+Исходные!$C$25*Q56*(Q69+Q70)</f>
        <v>10.0551353216214</v>
      </c>
      <c r="R74" s="15" t="n">
        <f aca="false">R52*$D$37/1000*(Исходные!$C$23+Исходные!$C$24*R56)/1000+Исходные!$C$25*R56*(R69+R70)</f>
        <v>10.4303629339118</v>
      </c>
      <c r="S74" s="15" t="n">
        <f aca="false">S52*$D$37/1000*(Исходные!$C$23+Исходные!$C$24*S56)/1000+Исходные!$C$25*S56*(S69+S70)</f>
        <v>10.8055905462023</v>
      </c>
      <c r="T74" s="15" t="n">
        <f aca="false">T52*$D$37/1000*(Исходные!$C$23+Исходные!$C$24*T56)/1000+Исходные!$C$25*T56*(T69+T70)</f>
        <v>11.1808181584927</v>
      </c>
      <c r="U74" s="15" t="n">
        <f aca="false">U52*$D$37/1000*(Исходные!$C$23+Исходные!$C$24*U56)/1000+Исходные!$C$25*U56*(U69+U70)</f>
        <v>11.5446752370773</v>
      </c>
      <c r="V74" s="15" t="n">
        <f aca="false">V52*$D$37/1000*(Исходные!$C$23+Исходные!$C$24*V56)/1000+Исходные!$C$25*V56*(V69+V70)</f>
        <v>10.747865719657</v>
      </c>
      <c r="W74" s="15" t="n">
        <f aca="false">W52*$D$37/1000*(Исходные!$C$23+Исходные!$C$24*W56)/1000+Исходные!$C$25*W56*(W69+W70)</f>
        <v>10.0062259417611</v>
      </c>
      <c r="X74" s="15" t="n">
        <f aca="false">X52*$D$37/1000*(Исходные!$C$23+Исходные!$C$24*X56)/1000+Исходные!$C$25*X56*(X69+X70)</f>
        <v>9.31593604419786</v>
      </c>
      <c r="Y74" s="15" t="n">
        <f aca="false">Y52*$D$37/1000*(Исходные!$C$23+Исходные!$C$24*Y56)/1000+Исходные!$C$25*Y56*(Y69+Y70)</f>
        <v>8.67344064834711</v>
      </c>
      <c r="Z74" s="15" t="n">
        <f aca="false">Z52*$D$37/1000*(Исходные!$C$23+Исходные!$C$24*Z56)/1000+Исходные!$C$25*Z56*(Z69+Z70)</f>
        <v>8.07543054397414</v>
      </c>
      <c r="AA74" s="15" t="n">
        <f aca="false">AA52*$D$37/1000*(Исходные!$C$23+Исходные!$C$24*AA56)/1000+Исходные!$C$25*AA56*(AA69+AA70)</f>
        <v>7.51882564494814</v>
      </c>
      <c r="AB74" s="15" t="n">
        <f aca="false">AB52*$D$37/1000*(Исходные!$C$23+Исходные!$C$24*AB56)/1000+Исходные!$C$25*AB56*(AB69+AB70)</f>
        <v>7.00075912507791</v>
      </c>
      <c r="AC74" s="15" t="n">
        <f aca="false">AC52*$D$37/1000*(Исходные!$C$23+Исходные!$C$24*AC56)/1000+Исходные!$C$25*AC56*(AC69+AC70)</f>
        <v>6.51856265235532</v>
      </c>
      <c r="AD74" s="15" t="n">
        <f aca="false">AD52*$D$37/1000*(Исходные!$C$23+Исходные!$C$24*AD56)/1000+Исходные!$C$25*AD56*(AD69+AD70)</f>
        <v>6.06975264555473</v>
      </c>
      <c r="AE74" s="15" t="n">
        <f aca="false">AE52*$D$37/1000*(Исходные!$C$23+Исходные!$C$24*AE56)/1000+Исходные!$C$25*AE56*(AE69+AE70)</f>
        <v>5.65201748240223</v>
      </c>
      <c r="AF74" s="15" t="n">
        <f aca="false">AF52*$D$37/1000*(Исходные!$C$23+Исходные!$C$24*AF56)/1000+Исходные!$C$25*AF56*(AF69+AF70)</f>
        <v>5.26320559342937</v>
      </c>
      <c r="AG74" s="15" t="n">
        <f aca="false">AG52*$D$37/1000*(Исходные!$C$23+Исходные!$C$24*AG56)/1000+Исходные!$C$25*AG56*(AG69+AG70)</f>
        <v>4.90131438018849</v>
      </c>
      <c r="AH74" s="15" t="n">
        <f aca="false">AH52*$D$37/1000*(Исходные!$C$23+Исходные!$C$24*AH56)/1000+Исходные!$C$25*AH56*(AH69+AH70)</f>
        <v>4.56447990075182</v>
      </c>
      <c r="AI74" s="15" t="n">
        <f aca="false">AI52*$D$37/1000*(Исходные!$C$23+Исходные!$C$24*AI56)/1000+Исходные!$C$25*AI56*(AI69+AI70)</f>
        <v>4.25096726936928</v>
      </c>
      <c r="AJ74" s="15" t="n">
        <f aca="false">AJ52*$D$37/1000*(Исходные!$C$23+Исходные!$C$24*AJ56)/1000+Исходные!$C$25*AJ56*(AJ69+AJ70)</f>
        <v>3.95916172083758</v>
      </c>
      <c r="AK74" s="15" t="n">
        <f aca="false">AK52*$D$37/1000*(Исходные!$C$23+Исходные!$C$24*AK56)/1000+Исходные!$C$25*AK56*(AK69+AK70)</f>
        <v>3.68756029355733</v>
      </c>
      <c r="AL74" s="15" t="n">
        <f aca="false">AL52*$D$37/1000*(Исходные!$C$23+Исходные!$C$24*AL56)/1000+Исходные!$C$25*AL56*(AL69+AL70)</f>
        <v>3.43476408844112</v>
      </c>
      <c r="AM74" s="15" t="n">
        <f aca="false">AM52*$D$37/1000*(Исходные!$C$23+Исходные!$C$24*AM56)/1000+Исходные!$C$25*AM56*(AM69+AM70)</f>
        <v>3.19947106380167</v>
      </c>
      <c r="AN74" s="15" t="n">
        <f aca="false">AN52*$D$37/1000*(Исходные!$C$23+Исходные!$C$24*AN56)/1000+Исходные!$C$25*AN56*(AN69+AN70)</f>
        <v>2.98046932910979</v>
      </c>
      <c r="AO74" s="15" t="n">
        <f aca="false">AO52*$D$37/1000*(Исходные!$C$23+Исходные!$C$24*AO56)/1000+Исходные!$C$25*AO56*(AO69+AO70)</f>
        <v>2.776630903081</v>
      </c>
      <c r="AP74" s="15" t="n">
        <f aca="false">AP52*$D$37/1000*(Исходные!$C$23+Исходные!$C$24*AP56)/1000+Исходные!$C$25*AP56*(AP69+AP70)</f>
        <v>2.58690590394185</v>
      </c>
      <c r="AQ74" s="15" t="n">
        <f aca="false">AQ52*$D$37/1000*(Исходные!$C$23+Исходные!$C$24*AQ56)/1000+Исходные!$C$25*AQ56*(AQ69+AQ70)</f>
        <v>2.41031714195214</v>
      </c>
      <c r="AR74" s="15" t="n">
        <f aca="false">AR52*$D$37/1000*(Исходные!$C$23+Исходные!$C$24*AR56)/1000+Исходные!$C$25*AR56*(AR69+AR70)</f>
        <v>2.24595508633192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4.48856223950046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2.24428111975023</v>
      </c>
      <c r="H80" s="15" t="n">
        <f aca="false">$D80*CAPEX_нормы!M$10</f>
        <v>2.24428111975023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10.75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4.3</v>
      </c>
      <c r="J92" s="15" t="n">
        <f aca="false">$D92*CAPEX_нормы!O$22</f>
        <v>6.45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362.294393226489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112.805653442062</v>
      </c>
      <c r="H93" s="15" t="n">
        <f aca="false">SUM(H76:H92)</f>
        <v>80.3228860833972</v>
      </c>
      <c r="I93" s="15" t="n">
        <f aca="false">SUM(I76:I92)</f>
        <v>11.1571428571429</v>
      </c>
      <c r="J93" s="15" t="n">
        <f aca="false">SUM(J76:J92)</f>
        <v>6.45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20.5256595751815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204.704514739914</v>
      </c>
      <c r="H94" s="15" t="n">
        <f aca="false">G94+H93</f>
        <v>285.027400823311</v>
      </c>
      <c r="I94" s="15" t="n">
        <f aca="false">H94+I93</f>
        <v>296.184543680454</v>
      </c>
      <c r="J94" s="15" t="n">
        <f aca="false">I94+J93</f>
        <v>302.634543680454</v>
      </c>
      <c r="K94" s="15" t="n">
        <f aca="false">J94+K93</f>
        <v>302.634543680454</v>
      </c>
      <c r="L94" s="15" t="n">
        <f aca="false">K94+L93</f>
        <v>302.634543680454</v>
      </c>
      <c r="M94" s="15" t="n">
        <f aca="false">L94+M93</f>
        <v>302.634543680454</v>
      </c>
      <c r="N94" s="15" t="n">
        <f aca="false">M94+N93</f>
        <v>305.205972251882</v>
      </c>
      <c r="O94" s="15" t="n">
        <f aca="false">N94+O93</f>
        <v>321.243074076126</v>
      </c>
      <c r="P94" s="15" t="n">
        <f aca="false">O94+P93</f>
        <v>341.768733651307</v>
      </c>
      <c r="Q94" s="15" t="n">
        <f aca="false">P94+Q93</f>
        <v>344.340162222736</v>
      </c>
      <c r="R94" s="15" t="n">
        <f aca="false">Q94+R93</f>
        <v>344.340162222736</v>
      </c>
      <c r="S94" s="15" t="n">
        <f aca="false">R94+S93</f>
        <v>344.340162222736</v>
      </c>
      <c r="T94" s="15" t="n">
        <f aca="false">S94+T93</f>
        <v>344.340162222736</v>
      </c>
      <c r="U94" s="15" t="n">
        <f aca="false">T94+U93</f>
        <v>344.340162222736</v>
      </c>
      <c r="V94" s="15" t="n">
        <f aca="false">U94+V93</f>
        <v>344.340162222736</v>
      </c>
      <c r="W94" s="15" t="n">
        <f aca="false">V94+W93</f>
        <v>362.294393226489</v>
      </c>
      <c r="X94" s="15" t="n">
        <f aca="false">W94+X93</f>
        <v>362.294393226489</v>
      </c>
      <c r="Y94" s="15" t="n">
        <f aca="false">X94+Y93</f>
        <v>362.294393226489</v>
      </c>
      <c r="Z94" s="15" t="n">
        <f aca="false">Y94+Z93</f>
        <v>362.294393226489</v>
      </c>
      <c r="AA94" s="15" t="n">
        <f aca="false">Z94+AA93</f>
        <v>362.294393226489</v>
      </c>
      <c r="AB94" s="15" t="n">
        <f aca="false">AA94+AB93</f>
        <v>362.294393226489</v>
      </c>
      <c r="AC94" s="15" t="n">
        <f aca="false">AB94+AC93</f>
        <v>362.294393226489</v>
      </c>
      <c r="AD94" s="15" t="n">
        <f aca="false">AC94+AD93</f>
        <v>362.294393226489</v>
      </c>
      <c r="AE94" s="15" t="n">
        <f aca="false">AD94+AE93</f>
        <v>362.294393226489</v>
      </c>
      <c r="AF94" s="15" t="n">
        <f aca="false">AE94+AF93</f>
        <v>362.294393226489</v>
      </c>
      <c r="AG94" s="15" t="n">
        <f aca="false">AF94+AG93</f>
        <v>362.294393226489</v>
      </c>
      <c r="AH94" s="15" t="n">
        <f aca="false">AG94+AH93</f>
        <v>362.294393226489</v>
      </c>
      <c r="AI94" s="15" t="n">
        <f aca="false">AH94+AI93</f>
        <v>362.294393226489</v>
      </c>
      <c r="AJ94" s="15" t="n">
        <f aca="false">AI94+AJ93</f>
        <v>362.294393226489</v>
      </c>
      <c r="AK94" s="15" t="n">
        <f aca="false">AJ94+AK93</f>
        <v>362.294393226489</v>
      </c>
      <c r="AL94" s="15" t="n">
        <f aca="false">AK94+AL93</f>
        <v>362.294393226489</v>
      </c>
      <c r="AM94" s="15" t="n">
        <f aca="false">AL94+AM93</f>
        <v>362.294393226489</v>
      </c>
      <c r="AN94" s="15" t="n">
        <f aca="false">AM94+AN93</f>
        <v>362.294393226489</v>
      </c>
      <c r="AO94" s="15" t="n">
        <f aca="false">AN94+AO93</f>
        <v>362.294393226489</v>
      </c>
      <c r="AP94" s="15" t="n">
        <f aca="false">AO94+AP93</f>
        <v>362.294393226489</v>
      </c>
      <c r="AQ94" s="15" t="n">
        <f aca="false">AP94+AQ93</f>
        <v>362.294393226489</v>
      </c>
      <c r="AR94" s="15" t="n">
        <f aca="false">AQ94+AR93</f>
        <v>362.294393226489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248.834115167095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5.17242772388713</v>
      </c>
      <c r="J97" s="15" t="n">
        <f aca="false">J96*Исходные!$C$33*J94+J52*Исходные!$C$34/1000+J62*Исходные!$C$35/1000+(J61+J62)*Исходные!$C$36/1000+IF(J59&gt;0,$D$43*Исходные!$C$41/1000,0)+J96*$D$33</f>
        <v>5.99883729256745</v>
      </c>
      <c r="K97" s="15" t="n">
        <f aca="false">K96*Исходные!$C$33*K94+K52*Исходные!$C$34/1000+K62*Исходные!$C$35/1000+(K61+K62)*Исходные!$C$36/1000+IF(K59&gt;0,$D$43*Исходные!$C$41/1000,0)+K96*$D$33</f>
        <v>7.00524254314013</v>
      </c>
      <c r="L97" s="15" t="n">
        <f aca="false">L96*Исходные!$C$33*L94+L52*Исходные!$C$34/1000+L62*Исходные!$C$35/1000+(L61+L62)*Исходные!$C$36/1000+IF(L59&gt;0,$D$43*Исходные!$C$41/1000,0)+L96*$D$33</f>
        <v>7.00524254314013</v>
      </c>
      <c r="M97" s="15" t="n">
        <f aca="false">M96*Исходные!$C$33*M94+M52*Исходные!$C$34/1000+M62*Исходные!$C$35/1000+(M61+M62)*Исходные!$C$36/1000+IF(M59&gt;0,$D$43*Исходные!$C$41/1000,0)+M96*$D$33</f>
        <v>7.00524254314013</v>
      </c>
      <c r="N97" s="15" t="n">
        <f aca="false">N96*Исходные!$C$33*N94+N52*Исходные!$C$34/1000+N62*Исходные!$C$35/1000+(N61+N62)*Исходные!$C$36/1000+IF(N59&gt;0,$D$43*Исходные!$C$41/1000,0)+N96*$D$33</f>
        <v>7.04381397171155</v>
      </c>
      <c r="O97" s="15" t="n">
        <f aca="false">O96*Исходные!$C$33*O94+O52*Исходные!$C$34/1000+O62*Исходные!$C$35/1000+(O61+O62)*Исходные!$C$36/1000+IF(O59&gt;0,$D$43*Исходные!$C$41/1000,0)+O96*$D$33</f>
        <v>7.2843704990752</v>
      </c>
      <c r="P97" s="15" t="n">
        <f aca="false">P96*Исходные!$C$33*P94+P52*Исходные!$C$34/1000+P62*Исходные!$C$35/1000+(P61+P62)*Исходные!$C$36/1000+IF(P59&gt;0,$D$43*Исходные!$C$41/1000,0)+P96*$D$33</f>
        <v>7.58853528873907</v>
      </c>
      <c r="Q97" s="15" t="n">
        <f aca="false">Q96*Исходные!$C$33*Q94+Q52*Исходные!$C$34/1000+Q62*Исходные!$C$35/1000+(Q61+Q62)*Исходные!$C$36/1000+IF(Q59&gt;0,$D$43*Исходные!$C$41/1000,0)+Q96*$D$33</f>
        <v>7.6271067173105</v>
      </c>
      <c r="R97" s="15" t="n">
        <f aca="false">R96*Исходные!$C$33*R94+R52*Исходные!$C$34/1000+R62*Исходные!$C$35/1000+(R61+R62)*Исходные!$C$36/1000+IF(R59&gt;0,$D$43*Исходные!$C$41/1000,0)+R96*$D$33</f>
        <v>7.6271067173105</v>
      </c>
      <c r="S97" s="15" t="n">
        <f aca="false">S96*Исходные!$C$33*S94+S52*Исходные!$C$34/1000+S62*Исходные!$C$35/1000+(S61+S62)*Исходные!$C$36/1000+IF(S59&gt;0,$D$43*Исходные!$C$41/1000,0)+S96*$D$33</f>
        <v>7.6271067173105</v>
      </c>
      <c r="T97" s="15" t="n">
        <f aca="false">T96*Исходные!$C$33*T94+T52*Исходные!$C$34/1000+T62*Исходные!$C$35/1000+(T61+T62)*Исходные!$C$36/1000+IF(T59&gt;0,$D$43*Исходные!$C$41/1000,0)+T96*$D$33</f>
        <v>7.6271067173105</v>
      </c>
      <c r="U97" s="15" t="n">
        <f aca="false">U96*Исходные!$C$33*U94+U52*Исходные!$C$34/1000+U62*Исходные!$C$35/1000+(U61+U62)*Исходные!$C$36/1000+IF(U59&gt;0,$D$43*Исходные!$C$41/1000,0)+U96*$D$33</f>
        <v>7.6271067173105</v>
      </c>
      <c r="V97" s="15" t="n">
        <f aca="false">V96*Исходные!$C$33*V94+V52*Исходные!$C$34/1000+V62*Исходные!$C$35/1000+(V61+V62)*Исходные!$C$36/1000+IF(V59&gt;0,$D$43*Исходные!$C$41/1000,0)+V96*$D$33</f>
        <v>7.48590719629426</v>
      </c>
      <c r="W97" s="15" t="n">
        <f aca="false">W96*Исходные!$C$33*W94+W52*Исходные!$C$34/1000+W62*Исходные!$C$35/1000+(W61+W62)*Исходные!$C$36/1000+IF(W59&gt;0,$D$43*Исходные!$C$41/1000,0)+W96*$D$33</f>
        <v>7.62379755568219</v>
      </c>
      <c r="X97" s="15" t="n">
        <f aca="false">X96*Исходные!$C$33*X94+X52*Исходные!$C$34/1000+X62*Исходные!$C$35/1000+(X61+X62)*Исходные!$C$36/1000+IF(X59&gt;0,$D$43*Исходные!$C$41/1000,0)+X96*$D$33</f>
        <v>7.50147396294469</v>
      </c>
      <c r="Y97" s="15" t="n">
        <f aca="false">Y96*Исходные!$C$33*Y94+Y52*Исходные!$C$34/1000+Y62*Исходные!$C$35/1000+(Y61+Y62)*Исходные!$C$36/1000+IF(Y59&gt;0,$D$43*Исходные!$C$41/1000,0)+Y96*$D$33</f>
        <v>7.38761984829635</v>
      </c>
      <c r="Z97" s="15" t="n">
        <f aca="false">Z96*Исходные!$C$33*Z94+Z52*Исходные!$C$34/1000+Z62*Исходные!$C$35/1000+(Z61+Z62)*Исходные!$C$36/1000+IF(Z59&gt;0,$D$43*Исходные!$C$41/1000,0)+Z96*$D$33</f>
        <v>7.28164879943927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7.18301500626846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7.09121044964488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7.00576228481299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6.92623040598616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6.85220517955596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6.78330533425024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6.71917599737305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6.65948686701202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6.60393051079896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6.55222078246144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6.50409134800958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6.45929431396725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6.41759895058214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6.37879050343867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6.34266908735274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6.30904865685138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6.2777560479346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6.2486300861841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362.294393226489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285.027400823311</v>
      </c>
      <c r="J98" s="15" t="n">
        <f aca="false">I93</f>
        <v>11.1571428571429</v>
      </c>
      <c r="K98" s="15" t="n">
        <f aca="false">J93</f>
        <v>6.45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20.5256595751815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362.294393226489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19.0018267215541</v>
      </c>
      <c r="J99" s="15" t="n">
        <f aca="true">SUM(OFFSET(J98,0,-MIN(Исходные!$C$32-1,J47),1,MIN(Исходные!$C$32,J47+1)))/Исходные!$C$32</f>
        <v>19.7456362453636</v>
      </c>
      <c r="K99" s="15" t="n">
        <f aca="true">SUM(OFFSET(K98,0,-MIN(Исходные!$C$32-1,K47),1,MIN(Исходные!$C$32,K47+1)))/Исходные!$C$32</f>
        <v>20.1756362453636</v>
      </c>
      <c r="L99" s="15" t="n">
        <f aca="true">SUM(OFFSET(L98,0,-MIN(Исходные!$C$32-1,L47),1,MIN(Исходные!$C$32,L47+1)))/Исходные!$C$32</f>
        <v>20.1756362453636</v>
      </c>
      <c r="M99" s="15" t="n">
        <f aca="true">SUM(OFFSET(M98,0,-MIN(Исходные!$C$32-1,M47),1,MIN(Исходные!$C$32,M47+1)))/Исходные!$C$32</f>
        <v>20.1756362453636</v>
      </c>
      <c r="N99" s="15" t="n">
        <f aca="true">SUM(OFFSET(N98,0,-MIN(Исходные!$C$32-1,N47),1,MIN(Исходные!$C$32,N47+1)))/Исходные!$C$32</f>
        <v>20.1756362453636</v>
      </c>
      <c r="O99" s="15" t="n">
        <f aca="true">SUM(OFFSET(O98,0,-MIN(Исходные!$C$32-1,O47),1,MIN(Исходные!$C$32,O47+1)))/Исходные!$C$32</f>
        <v>20.3470648167922</v>
      </c>
      <c r="P99" s="15" t="n">
        <f aca="true">SUM(OFFSET(P98,0,-MIN(Исходные!$C$32-1,P47),1,MIN(Исходные!$C$32,P47+1)))/Исходные!$C$32</f>
        <v>21.4162049384084</v>
      </c>
      <c r="Q99" s="15" t="n">
        <f aca="true">SUM(OFFSET(Q98,0,-MIN(Исходные!$C$32-1,Q47),1,MIN(Исходные!$C$32,Q47+1)))/Исходные!$C$32</f>
        <v>22.7845822434205</v>
      </c>
      <c r="R99" s="15" t="n">
        <f aca="true">SUM(OFFSET(R98,0,-MIN(Исходные!$C$32-1,R47),1,MIN(Исходные!$C$32,R47+1)))/Исходные!$C$32</f>
        <v>22.956010814849</v>
      </c>
      <c r="S99" s="15" t="n">
        <f aca="true">SUM(OFFSET(S98,0,-MIN(Исходные!$C$32-1,S47),1,MIN(Исходные!$C$32,S47+1)))/Исходные!$C$32</f>
        <v>22.956010814849</v>
      </c>
      <c r="T99" s="15" t="n">
        <f aca="true">SUM(OFFSET(T98,0,-MIN(Исходные!$C$32-1,T47),1,MIN(Исходные!$C$32,T47+1)))/Исходные!$C$32</f>
        <v>22.956010814849</v>
      </c>
      <c r="U99" s="15" t="n">
        <f aca="true">SUM(OFFSET(U98,0,-MIN(Исходные!$C$32-1,U47),1,MIN(Исходные!$C$32,U47+1)))/Исходные!$C$32</f>
        <v>22.956010814849</v>
      </c>
      <c r="V99" s="15" t="n">
        <f aca="true">SUM(OFFSET(V98,0,-MIN(Исходные!$C$32-1,V47),1,MIN(Исходные!$C$32,V47+1)))/Исходные!$C$32</f>
        <v>22.956010814849</v>
      </c>
      <c r="W99" s="15" t="n">
        <f aca="true">SUM(OFFSET(W98,0,-MIN(Исходные!$C$32-1,W47),1,MIN(Исходные!$C$32,W47+1)))/Исходные!$C$32</f>
        <v>22.956010814849</v>
      </c>
      <c r="X99" s="15" t="n">
        <f aca="true">SUM(OFFSET(X98,0,-MIN(Исходные!$C$32-1,X47),1,MIN(Исходные!$C$32,X47+1)))/Исходные!$C$32</f>
        <v>5.15113282687851</v>
      </c>
      <c r="Y99" s="15" t="n">
        <f aca="true">SUM(OFFSET(Y98,0,-MIN(Исходные!$C$32-1,Y47),1,MIN(Исходные!$C$32,Y47+1)))/Исходные!$C$32</f>
        <v>4.40732330306898</v>
      </c>
      <c r="Z99" s="15" t="n">
        <f aca="true">SUM(OFFSET(Z98,0,-MIN(Исходные!$C$32-1,Z47),1,MIN(Исходные!$C$32,Z47+1)))/Исходные!$C$32</f>
        <v>3.97732330306898</v>
      </c>
      <c r="AA99" s="15" t="n">
        <f aca="true">SUM(OFFSET(AA98,0,-MIN(Исходные!$C$32-1,AA47),1,MIN(Исходные!$C$32,AA47+1)))/Исходные!$C$32</f>
        <v>3.97732330306898</v>
      </c>
      <c r="AB99" s="15" t="n">
        <f aca="true">SUM(OFFSET(AB98,0,-MIN(Исходные!$C$32-1,AB47),1,MIN(Исходные!$C$32,AB47+1)))/Исходные!$C$32</f>
        <v>3.97732330306898</v>
      </c>
      <c r="AC99" s="15" t="n">
        <f aca="true">SUM(OFFSET(AC98,0,-MIN(Исходные!$C$32-1,AC47),1,MIN(Исходные!$C$32,AC47+1)))/Исходные!$C$32</f>
        <v>3.97732330306898</v>
      </c>
      <c r="AD99" s="15" t="n">
        <f aca="true">SUM(OFFSET(AD98,0,-MIN(Исходные!$C$32-1,AD47),1,MIN(Исходные!$C$32,AD47+1)))/Исходные!$C$32</f>
        <v>3.80589473164041</v>
      </c>
      <c r="AE99" s="15" t="n">
        <f aca="true">SUM(OFFSET(AE98,0,-MIN(Исходные!$C$32-1,AE47),1,MIN(Исходные!$C$32,AE47+1)))/Исходные!$C$32</f>
        <v>2.73675461002419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19.0018267215541</v>
      </c>
      <c r="J100" s="15" t="n">
        <f aca="false">I100+J99</f>
        <v>38.7474629669177</v>
      </c>
      <c r="K100" s="15" t="n">
        <f aca="false">J100+K99</f>
        <v>58.9230992122812</v>
      </c>
      <c r="L100" s="15" t="n">
        <f aca="false">K100+L99</f>
        <v>79.0987354576448</v>
      </c>
      <c r="M100" s="15" t="n">
        <f aca="false">L100+M99</f>
        <v>99.2743717030084</v>
      </c>
      <c r="N100" s="15" t="n">
        <f aca="false">M100+N99</f>
        <v>119.450007948372</v>
      </c>
      <c r="O100" s="15" t="n">
        <f aca="false">N100+O99</f>
        <v>139.797072765164</v>
      </c>
      <c r="P100" s="15" t="n">
        <f aca="false">O100+P99</f>
        <v>161.213277703573</v>
      </c>
      <c r="Q100" s="15" t="n">
        <f aca="false">P100+Q99</f>
        <v>183.997859946993</v>
      </c>
      <c r="R100" s="15" t="n">
        <f aca="false">Q100+R99</f>
        <v>206.953870761842</v>
      </c>
      <c r="S100" s="15" t="n">
        <f aca="false">R100+S99</f>
        <v>229.909881576691</v>
      </c>
      <c r="T100" s="15" t="n">
        <f aca="false">S100+T99</f>
        <v>252.86589239154</v>
      </c>
      <c r="U100" s="15" t="n">
        <f aca="false">T100+U99</f>
        <v>275.821903206389</v>
      </c>
      <c r="V100" s="15" t="n">
        <f aca="false">U100+V99</f>
        <v>298.777914021238</v>
      </c>
      <c r="W100" s="15" t="n">
        <f aca="false">V100+W99</f>
        <v>321.733924836087</v>
      </c>
      <c r="X100" s="15" t="n">
        <f aca="false">W100+X99</f>
        <v>326.885057662966</v>
      </c>
      <c r="Y100" s="15" t="n">
        <f aca="false">X100+Y99</f>
        <v>331.292380966035</v>
      </c>
      <c r="Z100" s="15" t="n">
        <f aca="false">Y100+Z99</f>
        <v>335.269704269104</v>
      </c>
      <c r="AA100" s="15" t="n">
        <f aca="false">Z100+AA99</f>
        <v>339.247027572173</v>
      </c>
      <c r="AB100" s="15" t="n">
        <f aca="false">AA100+AB99</f>
        <v>343.224350875242</v>
      </c>
      <c r="AC100" s="15" t="n">
        <f aca="false">AB100+AC99</f>
        <v>347.201674178311</v>
      </c>
      <c r="AD100" s="15" t="n">
        <f aca="false">AC100+AD99</f>
        <v>351.007568909951</v>
      </c>
      <c r="AE100" s="15" t="n">
        <f aca="false">AD100+AE99</f>
        <v>353.744323519975</v>
      </c>
      <c r="AF100" s="15" t="n">
        <f aca="false">AE100+AF99</f>
        <v>355.112700824988</v>
      </c>
      <c r="AG100" s="15" t="n">
        <f aca="false">AF100+AG99</f>
        <v>356.309649558571</v>
      </c>
      <c r="AH100" s="15" t="n">
        <f aca="false">AG100+AH99</f>
        <v>357.506598292155</v>
      </c>
      <c r="AI100" s="15" t="n">
        <f aca="false">AH100+AI99</f>
        <v>358.703547025738</v>
      </c>
      <c r="AJ100" s="15" t="n">
        <f aca="false">AI100+AJ99</f>
        <v>359.900495759322</v>
      </c>
      <c r="AK100" s="15" t="n">
        <f aca="false">AJ100+AK99</f>
        <v>361.097444492905</v>
      </c>
      <c r="AL100" s="15" t="n">
        <f aca="false">AK100+AL99</f>
        <v>362.294393226489</v>
      </c>
      <c r="AM100" s="15" t="n">
        <f aca="false">AL100+AM99</f>
        <v>362.294393226489</v>
      </c>
      <c r="AN100" s="15" t="n">
        <f aca="false">AM100+AN99</f>
        <v>362.294393226489</v>
      </c>
      <c r="AO100" s="15" t="n">
        <f aca="false">AN100+AO99</f>
        <v>362.294393226489</v>
      </c>
      <c r="AP100" s="15" t="n">
        <f aca="false">AO100+AP99</f>
        <v>362.294393226489</v>
      </c>
      <c r="AQ100" s="15" t="n">
        <f aca="false">AP100+AQ99</f>
        <v>362.294393226489</v>
      </c>
      <c r="AR100" s="15" t="n">
        <f aca="false">AQ100+AR99</f>
        <v>362.294393226489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57.4932103897491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6.0980197730958</v>
      </c>
      <c r="J101" s="15" t="n">
        <f aca="false">J96*Исходные!$C$31*(J94-J100)</f>
        <v>5.8055157756978</v>
      </c>
      <c r="K101" s="15" t="n">
        <f aca="false">K96*Исходные!$C$31*(K94-K100)</f>
        <v>5.3616517782998</v>
      </c>
      <c r="L101" s="15" t="n">
        <f aca="false">L96*Исходные!$C$31*(L94-L100)</f>
        <v>4.9177877809018</v>
      </c>
      <c r="M101" s="15" t="n">
        <f aca="false">M96*Исходные!$C$31*(M94-M100)</f>
        <v>4.4739237835038</v>
      </c>
      <c r="N101" s="15" t="n">
        <f aca="false">N96*Исходные!$C$31*(N94-N100)</f>
        <v>4.08663121467723</v>
      </c>
      <c r="O101" s="15" t="n">
        <f aca="false">O96*Исходные!$C$31*(O94-O100)</f>
        <v>3.99181202884115</v>
      </c>
      <c r="P101" s="15" t="n">
        <f aca="false">P96*Исходные!$C$31*(P94-P100)</f>
        <v>3.97222003085016</v>
      </c>
      <c r="Q101" s="15" t="n">
        <f aca="false">Q96*Исходные!$C$31*(Q94-Q100)</f>
        <v>3.52753065006634</v>
      </c>
      <c r="R101" s="15" t="n">
        <f aca="false">R96*Исходные!$C$31*(R94-R100)</f>
        <v>3.02249841213966</v>
      </c>
      <c r="S101" s="15" t="n">
        <f aca="false">S96*Исходные!$C$31*(S94-S100)</f>
        <v>2.51746617421298</v>
      </c>
      <c r="T101" s="15" t="n">
        <f aca="false">T96*Исходные!$C$31*(T94-T100)</f>
        <v>2.0124339362863</v>
      </c>
      <c r="U101" s="15" t="n">
        <f aca="false">U96*Исходные!$C$31*(U94-U100)</f>
        <v>1.50740169835962</v>
      </c>
      <c r="V101" s="15" t="n">
        <f aca="false">V96*Исходные!$C$31*(V94-V100)</f>
        <v>1.00236946043294</v>
      </c>
      <c r="W101" s="15" t="n">
        <f aca="false">W96*Исходные!$C$31*(W94-W100)</f>
        <v>0.892330304588827</v>
      </c>
      <c r="X101" s="15" t="n">
        <f aca="false">X96*Исходные!$C$31*(X94-X100)</f>
        <v>0.7790053823975</v>
      </c>
      <c r="Y101" s="15" t="n">
        <f aca="false">Y96*Исходные!$C$31*(Y94-Y100)</f>
        <v>0.682044269729982</v>
      </c>
      <c r="Z101" s="15" t="n">
        <f aca="false">Z96*Исходные!$C$31*(Z94-Z100)</f>
        <v>0.594543157062464</v>
      </c>
      <c r="AA101" s="15" t="n">
        <f aca="false">AA96*Исходные!$C$31*(AA94-AA100)</f>
        <v>0.507042044394946</v>
      </c>
      <c r="AB101" s="15" t="n">
        <f aca="false">AB96*Исходные!$C$31*(AB94-AB100)</f>
        <v>0.419540931727428</v>
      </c>
      <c r="AC101" s="15" t="n">
        <f aca="false">AC96*Исходные!$C$31*(AC94-AC100)</f>
        <v>0.33203981905991</v>
      </c>
      <c r="AD101" s="15" t="n">
        <f aca="false">AD96*Исходные!$C$31*(AD94-AD100)</f>
        <v>0.248310134963821</v>
      </c>
      <c r="AE101" s="15" t="n">
        <f aca="false">AE96*Исходные!$C$31*(AE94-AE100)</f>
        <v>0.188101533543288</v>
      </c>
      <c r="AF101" s="15" t="n">
        <f aca="false">AF96*Исходные!$C$31*(AF94-AF100)</f>
        <v>0.157997232833023</v>
      </c>
      <c r="AG101" s="15" t="n">
        <f aca="false">AG96*Исходные!$C$31*(AG94-AG100)</f>
        <v>0.131664360694185</v>
      </c>
      <c r="AH101" s="15" t="n">
        <f aca="false">AH96*Исходные!$C$31*(AH94-AH100)</f>
        <v>0.105331488555346</v>
      </c>
      <c r="AI101" s="15" t="n">
        <f aca="false">AI96*Исходные!$C$31*(AI94-AI100)</f>
        <v>0.0789986164165083</v>
      </c>
      <c r="AJ101" s="15" t="n">
        <f aca="false">AJ96*Исходные!$C$31*(AJ94-AJ100)</f>
        <v>0.0526657442776701</v>
      </c>
      <c r="AK101" s="15" t="n">
        <f aca="false">AK96*Исходные!$C$31*(AK94-AK100)</f>
        <v>0.0263328721388319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1314.48491436442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14.2918413678129</v>
      </c>
      <c r="J102" s="15" t="n">
        <f aca="false">J73-J74-J97-J101</f>
        <v>39.0519571618306</v>
      </c>
      <c r="K102" s="15" t="n">
        <f aca="false">K73-K74-K97-K101</f>
        <v>60.7414052357588</v>
      </c>
      <c r="L102" s="15" t="n">
        <f aca="false">L73-L74-L97-L101</f>
        <v>60.8072885772725</v>
      </c>
      <c r="M102" s="15" t="n">
        <f aca="false">M73-M74-M97-M101</f>
        <v>60.8731719187862</v>
      </c>
      <c r="N102" s="15" t="n">
        <f aca="false">N73-N74-N97-N101</f>
        <v>60.843912403157</v>
      </c>
      <c r="O102" s="15" t="n">
        <f aca="false">O73-O74-O97-O101</f>
        <v>60.3201944057451</v>
      </c>
      <c r="P102" s="15" t="n">
        <f aca="false">P73-P74-P97-P101</f>
        <v>58.4821694937918</v>
      </c>
      <c r="Q102" s="15" t="n">
        <f aca="false">Q73-Q74-Q97-Q101</f>
        <v>58.5130598337138</v>
      </c>
      <c r="R102" s="15" t="n">
        <f aca="false">R73-R74-R97-R101</f>
        <v>58.64286445935</v>
      </c>
      <c r="S102" s="15" t="n">
        <f aca="false">S73-S74-S97-S101</f>
        <v>58.7726690849863</v>
      </c>
      <c r="T102" s="15" t="n">
        <f aca="false">T73-T74-T97-T101</f>
        <v>58.9024737106225</v>
      </c>
      <c r="U102" s="15" t="n">
        <f aca="false">U73-U74-U97-U101</f>
        <v>59.0436488699645</v>
      </c>
      <c r="V102" s="15" t="n">
        <f aca="false">V73-V74-V97-V101</f>
        <v>55.1258919968263</v>
      </c>
      <c r="W102" s="15" t="n">
        <f aca="false">W73-W74-W97-W101</f>
        <v>50.8500549931446</v>
      </c>
      <c r="X102" s="15" t="n">
        <f aca="false">X73-X74-X97-X101</f>
        <v>47.1318410397649</v>
      </c>
      <c r="Y102" s="15" t="n">
        <f aca="false">Y73-Y74-Y97-Y101</f>
        <v>43.6625525299657</v>
      </c>
      <c r="Z102" s="15" t="n">
        <f aca="false">Z73-Z74-Z97-Z101</f>
        <v>40.4307250953407</v>
      </c>
      <c r="AA102" s="15" t="n">
        <f aca="false">AA73-AA74-AA97-AA101</f>
        <v>37.4287223394456</v>
      </c>
      <c r="AB102" s="15" t="n">
        <f aca="false">AB73-AB74-AB97-AB101</f>
        <v>34.6406315913287</v>
      </c>
      <c r="AC102" s="15" t="n">
        <f aca="false">AC73-AC74-AC97-AC101</f>
        <v>32.0516419463859</v>
      </c>
      <c r="AD102" s="15" t="n">
        <f aca="false">AD73-AD74-AD97-AD101</f>
        <v>29.6441965533556</v>
      </c>
      <c r="AE102" s="15" t="n">
        <f aca="false">AE73-AE74-AE97-AE101</f>
        <v>27.3857148147293</v>
      </c>
      <c r="AF102" s="15" t="n">
        <f aca="false">AF73-AF74-AF97-AF101</f>
        <v>25.2576709618267</v>
      </c>
      <c r="AG102" s="15" t="n">
        <f aca="false">AG73-AG74-AG97-AG101</f>
        <v>23.2752821980924</v>
      </c>
      <c r="AH102" s="15" t="n">
        <f aca="false">AH73-AH74-AH97-AH101</f>
        <v>21.4319739134503</v>
      </c>
      <c r="AI102" s="15" t="n">
        <f aca="false">AI73-AI74-AI97-AI101</f>
        <v>19.7181164114215</v>
      </c>
      <c r="AJ102" s="15" t="n">
        <f aca="false">AJ73-AJ74-AJ97-AJ101</f>
        <v>18.1247467393781</v>
      </c>
      <c r="AK102" s="15" t="n">
        <f aca="false">AK73-AK74-AK97-AK101</f>
        <v>16.6435225243302</v>
      </c>
      <c r="AL102" s="15" t="n">
        <f aca="false">AL73-AL74-AL97-AL101</f>
        <v>15.2666790050445</v>
      </c>
      <c r="AM102" s="15" t="n">
        <f aca="false">AM73-AM74-AM97-AM101</f>
        <v>13.9606561670468</v>
      </c>
      <c r="AN102" s="15" t="n">
        <f aca="false">AN73-AN74-AN97-AN101</f>
        <v>12.7450601352179</v>
      </c>
      <c r="AO102" s="15" t="n">
        <f aca="false">AO73-AO74-AO97-AO101</f>
        <v>11.6136299108709</v>
      </c>
      <c r="AP102" s="15" t="n">
        <f aca="false">AP73-AP74-AP97-AP101</f>
        <v>10.5605379962485</v>
      </c>
      <c r="AQ102" s="15" t="n">
        <f aca="false">AQ73-AQ74-AQ97-AQ101</f>
        <v>9.58036037965447</v>
      </c>
      <c r="AR102" s="15" t="n">
        <f aca="false">AR73-AR74-AR97-AR101</f>
        <v>8.66804859876253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239.225126622919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4.82658022911675</v>
      </c>
      <c r="K103" s="15" t="n">
        <f aca="false">MAX(0,K102-K99)*Исходные!$C$30</f>
        <v>10.1414422475988</v>
      </c>
      <c r="L103" s="15" t="n">
        <f aca="false">MAX(0,L102-L99)*Исходные!$C$30</f>
        <v>10.1579130829772</v>
      </c>
      <c r="M103" s="15" t="n">
        <f aca="false">MAX(0,M102-M99)*Исходные!$C$30</f>
        <v>10.1743839183556</v>
      </c>
      <c r="N103" s="15" t="n">
        <f aca="false">MAX(0,N102-N99)*Исходные!$C$30</f>
        <v>10.1670690394483</v>
      </c>
      <c r="O103" s="15" t="n">
        <f aca="false">MAX(0,O102-O99)*Исходные!$C$30</f>
        <v>9.99328239723823</v>
      </c>
      <c r="P103" s="15" t="n">
        <f aca="false">MAX(0,P102-P99)*Исходные!$C$30</f>
        <v>9.26649113884585</v>
      </c>
      <c r="Q103" s="15" t="n">
        <f aca="false">MAX(0,Q102-Q99)*Исходные!$C$30</f>
        <v>8.93211939757332</v>
      </c>
      <c r="R103" s="15" t="n">
        <f aca="false">MAX(0,R102-R99)*Исходные!$C$30</f>
        <v>8.92171341112524</v>
      </c>
      <c r="S103" s="15" t="n">
        <f aca="false">MAX(0,S102-S99)*Исходные!$C$30</f>
        <v>8.9541645675343</v>
      </c>
      <c r="T103" s="15" t="n">
        <f aca="false">MAX(0,T102-T99)*Исходные!$C$30</f>
        <v>8.98661572394337</v>
      </c>
      <c r="U103" s="15" t="n">
        <f aca="false">MAX(0,U102-U99)*Исходные!$C$30</f>
        <v>9.02190951377888</v>
      </c>
      <c r="V103" s="15" t="n">
        <f aca="false">MAX(0,V102-V99)*Исходные!$C$30</f>
        <v>8.0424702954943</v>
      </c>
      <c r="W103" s="15" t="n">
        <f aca="false">MAX(0,W102-W99)*Исходные!$C$30</f>
        <v>6.9735110445739</v>
      </c>
      <c r="X103" s="15" t="n">
        <f aca="false">MAX(0,X102-X99)*Исходные!$C$30</f>
        <v>10.4951770532216</v>
      </c>
      <c r="Y103" s="15" t="n">
        <f aca="false">MAX(0,Y102-Y99)*Исходные!$C$30</f>
        <v>9.81380730672417</v>
      </c>
      <c r="Z103" s="15" t="n">
        <f aca="false">MAX(0,Z102-Z99)*Исходные!$C$30</f>
        <v>9.11335044806792</v>
      </c>
      <c r="AA103" s="15" t="n">
        <f aca="false">MAX(0,AA102-AA99)*Исходные!$C$30</f>
        <v>8.36284975909414</v>
      </c>
      <c r="AB103" s="15" t="n">
        <f aca="false">MAX(0,AB102-AB99)*Исходные!$C$30</f>
        <v>7.66582707206493</v>
      </c>
      <c r="AC103" s="15" t="n">
        <f aca="false">MAX(0,AC102-AC99)*Исходные!$C$30</f>
        <v>7.01857966082923</v>
      </c>
      <c r="AD103" s="15" t="n">
        <f aca="false">MAX(0,AD102-AD99)*Исходные!$C$30</f>
        <v>6.45957545542879</v>
      </c>
      <c r="AE103" s="15" t="n">
        <f aca="false">MAX(0,AE102-AE99)*Исходные!$C$30</f>
        <v>6.16224005117627</v>
      </c>
      <c r="AF103" s="15" t="n">
        <f aca="false">MAX(0,AF102-AF99)*Исходные!$C$30</f>
        <v>5.97232341420366</v>
      </c>
      <c r="AG103" s="15" t="n">
        <f aca="false">MAX(0,AG102-AG99)*Исходные!$C$30</f>
        <v>5.51958336612721</v>
      </c>
      <c r="AH103" s="15" t="n">
        <f aca="false">MAX(0,AH102-AH99)*Исходные!$C$30</f>
        <v>5.0587562949667</v>
      </c>
      <c r="AI103" s="15" t="n">
        <f aca="false">MAX(0,AI102-AI99)*Исходные!$C$30</f>
        <v>4.63029191945949</v>
      </c>
      <c r="AJ103" s="15" t="n">
        <f aca="false">MAX(0,AJ102-AJ99)*Исходные!$C$30</f>
        <v>4.23194950144863</v>
      </c>
      <c r="AK103" s="15" t="n">
        <f aca="false">MAX(0,AK102-AK99)*Исходные!$C$30</f>
        <v>3.86164344768667</v>
      </c>
      <c r="AL103" s="15" t="n">
        <f aca="false">MAX(0,AL102-AL99)*Исходные!$C$30</f>
        <v>3.51743256786525</v>
      </c>
      <c r="AM103" s="15" t="n">
        <f aca="false">MAX(0,AM102-AM99)*Исходные!$C$30</f>
        <v>3.49016404176171</v>
      </c>
      <c r="AN103" s="15" t="n">
        <f aca="false">MAX(0,AN102-AN99)*Исходные!$C$30</f>
        <v>3.18626503380448</v>
      </c>
      <c r="AO103" s="15" t="n">
        <f aca="false">MAX(0,AO102-AO99)*Исходные!$C$30</f>
        <v>2.90340747771772</v>
      </c>
      <c r="AP103" s="15" t="n">
        <f aca="false">MAX(0,AP102-AP99)*Исходные!$C$30</f>
        <v>2.64013449906213</v>
      </c>
      <c r="AQ103" s="15" t="n">
        <f aca="false">MAX(0,AQ102-AQ99)*Исходные!$C$30</f>
        <v>2.39509009491362</v>
      </c>
      <c r="AR103" s="15" t="n">
        <f aca="false">MAX(0,AR102-AR99)*Исходные!$C$30</f>
        <v>2.16701214969063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712.965394515016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-112.805653442062</v>
      </c>
      <c r="H105" s="15" t="n">
        <f aca="false">H102-H103-H93</f>
        <v>-80.3228860833972</v>
      </c>
      <c r="I105" s="15" t="n">
        <f aca="false">I102-I103-I93</f>
        <v>3.13469851067005</v>
      </c>
      <c r="J105" s="15" t="n">
        <f aca="false">J102-J103-J93</f>
        <v>27.7753769327138</v>
      </c>
      <c r="K105" s="15" t="n">
        <f aca="false">K102-K103-K93</f>
        <v>50.59996298816</v>
      </c>
      <c r="L105" s="15" t="n">
        <f aca="false">L102-L103-L93</f>
        <v>50.6493754942953</v>
      </c>
      <c r="M105" s="15" t="n">
        <f aca="false">M102-M103-M93</f>
        <v>50.6987880004305</v>
      </c>
      <c r="N105" s="15" t="n">
        <f aca="false">N102-N103-N93</f>
        <v>48.1054147922801</v>
      </c>
      <c r="O105" s="15" t="n">
        <f aca="false">O102-O103-O93</f>
        <v>34.2898101842636</v>
      </c>
      <c r="P105" s="15" t="n">
        <f aca="false">P102-P103-P93</f>
        <v>28.6900187797645</v>
      </c>
      <c r="Q105" s="15" t="n">
        <f aca="false">Q102-Q103-Q93</f>
        <v>47.0095118647119</v>
      </c>
      <c r="R105" s="15" t="n">
        <f aca="false">R102-R103-R93</f>
        <v>49.7211510482248</v>
      </c>
      <c r="S105" s="15" t="n">
        <f aca="false">S102-S103-S93</f>
        <v>49.818504517452</v>
      </c>
      <c r="T105" s="15" t="n">
        <f aca="false">T102-T103-T93</f>
        <v>49.9158579866791</v>
      </c>
      <c r="U105" s="15" t="n">
        <f aca="false">U102-U103-U93</f>
        <v>50.0217393561857</v>
      </c>
      <c r="V105" s="15" t="n">
        <f aca="false">V102-V103-V93</f>
        <v>47.083421701332</v>
      </c>
      <c r="W105" s="15" t="n">
        <f aca="false">W102-W103-W93</f>
        <v>25.9223129448178</v>
      </c>
      <c r="X105" s="15" t="n">
        <f aca="false">X102-X103-X93</f>
        <v>36.6366639865433</v>
      </c>
      <c r="Y105" s="15" t="n">
        <f aca="false">Y102-Y103-Y93</f>
        <v>33.8487452232415</v>
      </c>
      <c r="Z105" s="15" t="n">
        <f aca="false">Z102-Z103-Z93</f>
        <v>31.3173746472728</v>
      </c>
      <c r="AA105" s="15" t="n">
        <f aca="false">AA102-AA103-AA93</f>
        <v>29.0658725803514</v>
      </c>
      <c r="AB105" s="15" t="n">
        <f aca="false">AB102-AB103-AB93</f>
        <v>26.9748045192638</v>
      </c>
      <c r="AC105" s="15" t="n">
        <f aca="false">AC102-AC103-AC93</f>
        <v>25.0330622855567</v>
      </c>
      <c r="AD105" s="15" t="n">
        <f aca="false">AD102-AD103-AD93</f>
        <v>23.1846210979268</v>
      </c>
      <c r="AE105" s="15" t="n">
        <f aca="false">AE102-AE103-AE93</f>
        <v>21.223474763553</v>
      </c>
      <c r="AF105" s="15" t="n">
        <f aca="false">AF102-AF103-AF93</f>
        <v>19.2853475476231</v>
      </c>
      <c r="AG105" s="15" t="n">
        <f aca="false">AG102-AG103-AG93</f>
        <v>17.7556988319652</v>
      </c>
      <c r="AH105" s="15" t="n">
        <f aca="false">AH102-AH103-AH93</f>
        <v>16.3732176184836</v>
      </c>
      <c r="AI105" s="15" t="n">
        <f aca="false">AI102-AI103-AI93</f>
        <v>15.087824491962</v>
      </c>
      <c r="AJ105" s="15" t="n">
        <f aca="false">AJ102-AJ103-AJ93</f>
        <v>13.8927972379294</v>
      </c>
      <c r="AK105" s="15" t="n">
        <f aca="false">AK102-AK103-AK93</f>
        <v>12.7818790766435</v>
      </c>
      <c r="AL105" s="15" t="n">
        <f aca="false">AL102-AL103-AL93</f>
        <v>11.7492464371793</v>
      </c>
      <c r="AM105" s="15" t="n">
        <f aca="false">AM102-AM103-AM93</f>
        <v>10.4704921252851</v>
      </c>
      <c r="AN105" s="15" t="n">
        <f aca="false">AN102-AN103-AN93</f>
        <v>9.55879510141345</v>
      </c>
      <c r="AO105" s="15" t="n">
        <f aca="false">AO102-AO103-AO93</f>
        <v>8.71022243315316</v>
      </c>
      <c r="AP105" s="15" t="n">
        <f aca="false">AP102-AP103-AP93</f>
        <v>7.92040349718639</v>
      </c>
      <c r="AQ105" s="15" t="n">
        <f aca="false">AQ102-AQ103-AQ93</f>
        <v>7.18527028474085</v>
      </c>
      <c r="AR105" s="15" t="n">
        <f aca="false">AR102-AR103-AR93</f>
        <v>6.5010364490719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17.5883830998681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-88.8892317457925</v>
      </c>
      <c r="H107" s="15" t="n">
        <f aca="false">H105*H106</f>
        <v>-57.5393440576669</v>
      </c>
      <c r="I107" s="15" t="n">
        <f aca="false">I105*I106</f>
        <v>2.04140274468122</v>
      </c>
      <c r="J107" s="15" t="n">
        <f aca="false">J105*J106</f>
        <v>16.4437245391445</v>
      </c>
      <c r="K107" s="15" t="n">
        <f aca="false">K105*K106</f>
        <v>27.2331416905329</v>
      </c>
      <c r="L107" s="15" t="n">
        <f aca="false">L105*L106</f>
        <v>24.7815779429775</v>
      </c>
      <c r="M107" s="15" t="n">
        <f aca="false">M105*M106</f>
        <v>22.5506857719153</v>
      </c>
      <c r="N107" s="15" t="n">
        <f aca="false">N105*N106</f>
        <v>19.4519638920101</v>
      </c>
      <c r="O107" s="15" t="n">
        <f aca="false">O105*O106</f>
        <v>12.6049720455929</v>
      </c>
      <c r="P107" s="15" t="n">
        <f aca="false">P105*P106</f>
        <v>9.5877114079063</v>
      </c>
      <c r="Q107" s="15" t="n">
        <f aca="false">Q105*Q106</f>
        <v>14.2816102588675</v>
      </c>
      <c r="R107" s="15" t="n">
        <f aca="false">R105*R106</f>
        <v>13.7321938152086</v>
      </c>
      <c r="S107" s="15" t="n">
        <f aca="false">S105*S106</f>
        <v>12.5082557275541</v>
      </c>
      <c r="T107" s="15" t="n">
        <f aca="false">T105*T106</f>
        <v>11.3933626325706</v>
      </c>
      <c r="U107" s="15" t="n">
        <f aca="false">U105*U106</f>
        <v>10.379572908638</v>
      </c>
      <c r="V107" s="15" t="n">
        <f aca="false">V105*V106</f>
        <v>8.88169850343808</v>
      </c>
      <c r="W107" s="15" t="n">
        <f aca="false">W105*W106</f>
        <v>4.44538186919118</v>
      </c>
      <c r="X107" s="15" t="n">
        <f aca="false">X105*X106</f>
        <v>5.71161020378383</v>
      </c>
      <c r="Y107" s="15" t="n">
        <f aca="false">Y105*Y106</f>
        <v>4.79725195189358</v>
      </c>
      <c r="Z107" s="15" t="n">
        <f aca="false">Z105*Z106</f>
        <v>4.03499143197605</v>
      </c>
      <c r="AA107" s="15" t="n">
        <f aca="false">AA105*AA106</f>
        <v>3.40445775331817</v>
      </c>
      <c r="AB107" s="15" t="n">
        <f aca="false">AB105*AB106</f>
        <v>2.87230268969145</v>
      </c>
      <c r="AC107" s="15" t="n">
        <f aca="false">AC105*AC106</f>
        <v>2.42322194613023</v>
      </c>
      <c r="AD107" s="15" t="n">
        <f aca="false">AD105*AD106</f>
        <v>2.04026477305521</v>
      </c>
      <c r="AE107" s="15" t="n">
        <f aca="false">AE105*AE106</f>
        <v>1.69789305744792</v>
      </c>
      <c r="AF107" s="15" t="n">
        <f aca="false">AF105*AF106</f>
        <v>1.40258318490941</v>
      </c>
      <c r="AG107" s="15" t="n">
        <f aca="false">AG105*AG106</f>
        <v>1.17394092524166</v>
      </c>
      <c r="AH107" s="15" t="n">
        <f aca="false">AH105*AH106</f>
        <v>0.984123997295922</v>
      </c>
      <c r="AI107" s="15" t="n">
        <f aca="false">AI105*AI106</f>
        <v>0.824422291635734</v>
      </c>
      <c r="AJ107" s="15" t="n">
        <f aca="false">AJ105*AJ106</f>
        <v>0.690112851182887</v>
      </c>
      <c r="AK107" s="15" t="n">
        <f aca="false">AK105*AK106</f>
        <v>0.577208126562347</v>
      </c>
      <c r="AL107" s="15" t="n">
        <f aca="false">AL105*AL106</f>
        <v>0.482341978320056</v>
      </c>
      <c r="AM107" s="15" t="n">
        <f aca="false">AM105*AM106</f>
        <v>0.39076841788015</v>
      </c>
      <c r="AN107" s="15" t="n">
        <f aca="false">AN105*AN106</f>
        <v>0.324311858673904</v>
      </c>
      <c r="AO107" s="15" t="n">
        <f aca="false">AO105*AO106</f>
        <v>0.26865581020023</v>
      </c>
      <c r="AP107" s="15" t="n">
        <f aca="false">AP105*AP106</f>
        <v>0.222086220580022</v>
      </c>
      <c r="AQ107" s="15" t="n">
        <f aca="false">AQ105*AQ106</f>
        <v>0.183157510042478</v>
      </c>
      <c r="AR107" s="15" t="n">
        <f aca="false">AR105*AR106</f>
        <v>0.150650832950455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-169.845886405465</v>
      </c>
      <c r="H108" s="15" t="n">
        <f aca="false">G108+H107</f>
        <v>-227.385230463132</v>
      </c>
      <c r="I108" s="15" t="n">
        <f aca="false">H108+I107</f>
        <v>-225.343827718451</v>
      </c>
      <c r="J108" s="15" t="n">
        <f aca="false">I108+J107</f>
        <v>-208.900103179307</v>
      </c>
      <c r="K108" s="15" t="n">
        <f aca="false">J108+K107</f>
        <v>-181.666961488774</v>
      </c>
      <c r="L108" s="15" t="n">
        <f aca="false">K108+L107</f>
        <v>-156.885383545796</v>
      </c>
      <c r="M108" s="15" t="n">
        <f aca="false">L108+M107</f>
        <v>-134.334697773881</v>
      </c>
      <c r="N108" s="15" t="n">
        <f aca="false">M108+N107</f>
        <v>-114.882733881871</v>
      </c>
      <c r="O108" s="15" t="n">
        <f aca="false">N108+O107</f>
        <v>-102.277761836278</v>
      </c>
      <c r="P108" s="15" t="n">
        <f aca="false">O108+P107</f>
        <v>-92.6900504283716</v>
      </c>
      <c r="Q108" s="15" t="n">
        <f aca="false">P108+Q107</f>
        <v>-78.4084401695041</v>
      </c>
      <c r="R108" s="15" t="n">
        <f aca="false">Q108+R107</f>
        <v>-64.6762463542955</v>
      </c>
      <c r="S108" s="15" t="n">
        <f aca="false">R108+S107</f>
        <v>-52.1679906267414</v>
      </c>
      <c r="T108" s="15" t="n">
        <f aca="false">S108+T107</f>
        <v>-40.7746279941708</v>
      </c>
      <c r="U108" s="15" t="n">
        <f aca="false">T108+U107</f>
        <v>-30.3950550855328</v>
      </c>
      <c r="V108" s="15" t="n">
        <f aca="false">U108+V107</f>
        <v>-21.5133565820947</v>
      </c>
      <c r="W108" s="15" t="n">
        <f aca="false">V108+W107</f>
        <v>-17.0679747129035</v>
      </c>
      <c r="X108" s="15" t="n">
        <f aca="false">W108+X107</f>
        <v>-11.3563645091197</v>
      </c>
      <c r="Y108" s="15" t="n">
        <f aca="false">X108+Y107</f>
        <v>-6.55911255722612</v>
      </c>
      <c r="Z108" s="15" t="n">
        <f aca="false">Y108+Z107</f>
        <v>-2.52412112525008</v>
      </c>
      <c r="AA108" s="15" t="n">
        <f aca="false">Z108+AA107</f>
        <v>0.880336628068096</v>
      </c>
      <c r="AB108" s="15" t="n">
        <f aca="false">AA108+AB107</f>
        <v>3.75263931775955</v>
      </c>
      <c r="AC108" s="15" t="n">
        <f aca="false">AB108+AC107</f>
        <v>6.17586126388977</v>
      </c>
      <c r="AD108" s="15" t="n">
        <f aca="false">AC108+AD107</f>
        <v>8.21612603694498</v>
      </c>
      <c r="AE108" s="15" t="n">
        <f aca="false">AD108+AE107</f>
        <v>9.9140190943929</v>
      </c>
      <c r="AF108" s="15" t="n">
        <f aca="false">AE108+AF107</f>
        <v>11.3166022793023</v>
      </c>
      <c r="AG108" s="15" t="n">
        <f aca="false">AF108+AG107</f>
        <v>12.490543204544</v>
      </c>
      <c r="AH108" s="15" t="n">
        <f aca="false">AG108+AH107</f>
        <v>13.4746672018399</v>
      </c>
      <c r="AI108" s="15" t="n">
        <f aca="false">AH108+AI107</f>
        <v>14.2990894934756</v>
      </c>
      <c r="AJ108" s="15" t="n">
        <f aca="false">AI108+AJ107</f>
        <v>14.9892023446585</v>
      </c>
      <c r="AK108" s="15" t="n">
        <f aca="false">AJ108+AK107</f>
        <v>15.5664104712209</v>
      </c>
      <c r="AL108" s="15" t="n">
        <f aca="false">AK108+AL107</f>
        <v>16.0487524495409</v>
      </c>
      <c r="AM108" s="15" t="n">
        <f aca="false">AL108+AM107</f>
        <v>16.4395208674211</v>
      </c>
      <c r="AN108" s="15" t="n">
        <f aca="false">AM108+AN107</f>
        <v>16.763832726095</v>
      </c>
      <c r="AO108" s="15" t="n">
        <f aca="false">AN108+AO107</f>
        <v>17.0324885362952</v>
      </c>
      <c r="AP108" s="15" t="n">
        <f aca="false">AO108+AP107</f>
        <v>17.2545747568752</v>
      </c>
      <c r="AQ108" s="15" t="n">
        <f aca="false">AP108+AQ107</f>
        <v>17.4377322669177</v>
      </c>
      <c r="AR108" s="15" t="n">
        <f aca="false">AQ108+AR107</f>
        <v>17.5883830998681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1</v>
      </c>
      <c r="AB109" s="40" t="n">
        <f aca="false">IF(OR(AA109=1,AND(AB108&gt;0,AB46&gt;2031)),1,0)</f>
        <v>1</v>
      </c>
      <c r="AC109" s="40" t="n">
        <f aca="false">IF(OR(AB109=1,AND(AC108&gt;0,AC46&gt;2031)),1,0)</f>
        <v>1</v>
      </c>
      <c r="AD109" s="40" t="n">
        <f aca="false">IF(OR(AC109=1,AND(AD108&gt;0,AD46&gt;2031)),1,0)</f>
        <v>1</v>
      </c>
      <c r="AE109" s="40" t="n">
        <f aca="false">IF(OR(AD109=1,AND(AE108&gt;0,AE46&gt;2031)),1,0)</f>
        <v>1</v>
      </c>
      <c r="AF109" s="40" t="n">
        <f aca="false">IF(OR(AE109=1,AND(AF108&gt;0,AF46&gt;2031)),1,0)</f>
        <v>1</v>
      </c>
      <c r="AG109" s="40" t="n">
        <f aca="false">IF(OR(AF109=1,AND(AG108&gt;0,AG46&gt;2031)),1,0)</f>
        <v>1</v>
      </c>
      <c r="AH109" s="40" t="n">
        <f aca="false">IF(OR(AG109=1,AND(AH108&gt;0,AH46&gt;2031)),1,0)</f>
        <v>1</v>
      </c>
      <c r="AI109" s="40" t="n">
        <f aca="false">IF(OR(AH109=1,AND(AI108&gt;0,AI46&gt;2031)),1,0)</f>
        <v>1</v>
      </c>
      <c r="AJ109" s="40" t="n">
        <f aca="false">IF(OR(AI109=1,AND(AJ108&gt;0,AJ46&gt;2031)),1,0)</f>
        <v>1</v>
      </c>
      <c r="AK109" s="40" t="n">
        <f aca="false">IF(OR(AJ109=1,AND(AK108&gt;0,AK46&gt;2031)),1,0)</f>
        <v>1</v>
      </c>
      <c r="AL109" s="40" t="n">
        <f aca="false">IF(OR(AK109=1,AND(AL108&gt;0,AL46&gt;2031)),1,0)</f>
        <v>1</v>
      </c>
      <c r="AM109" s="40" t="n">
        <f aca="false">IF(OR(AL109=1,AND(AM108&gt;0,AM46&gt;2031)),1,0)</f>
        <v>1</v>
      </c>
      <c r="AN109" s="40" t="n">
        <f aca="false">IF(OR(AM109=1,AND(AN108&gt;0,AN46&gt;2031)),1,0)</f>
        <v>1</v>
      </c>
      <c r="AO109" s="40" t="n">
        <f aca="false">IF(OR(AN109=1,AND(AO108&gt;0,AO46&gt;2031)),1,0)</f>
        <v>1</v>
      </c>
      <c r="AP109" s="40" t="n">
        <f aca="false">IF(OR(AO109=1,AND(AP108&gt;0,AP46&gt;2031)),1,0)</f>
        <v>1</v>
      </c>
      <c r="AQ109" s="40" t="n">
        <f aca="false">IF(OR(AP109=1,AND(AQ108&gt;0,AQ46&gt;2031)),1,0)</f>
        <v>1</v>
      </c>
      <c r="AR109" s="40" t="n">
        <f aca="false">IF(OR(AQ109=1,AND(AR108&gt;0,AR46&gt;2031)),1,0)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44" min="5" style="0" width="8.5"/>
  </cols>
  <sheetData>
    <row r="2" customFormat="false" ht="17.35" hidden="false" customHeight="false" outlineLevel="0" collapsed="false">
      <c r="B2" s="1" t="s">
        <v>425</v>
      </c>
    </row>
    <row r="3" customFormat="false" ht="15" hidden="false" customHeight="false" outlineLevel="0" collapsed="false">
      <c r="B3" s="2" t="s">
        <v>426</v>
      </c>
    </row>
    <row r="5" customFormat="false" ht="15" hidden="false" customHeight="false" outlineLevel="0" collapsed="false">
      <c r="B5" s="3" t="s">
        <v>299</v>
      </c>
      <c r="C5" s="38" t="n">
        <f aca="false">SUM(E107:AR107)</f>
        <v>13.7293048335457</v>
      </c>
    </row>
    <row r="6" customFormat="false" ht="15" hidden="false" customHeight="false" outlineLevel="0" collapsed="false">
      <c r="B6" s="8" t="s">
        <v>300</v>
      </c>
      <c r="C6" s="39" t="n">
        <f aca="false">IRR(E105:AR105,0.1)</f>
        <v>0.106326887241058</v>
      </c>
    </row>
    <row r="7" customFormat="false" ht="15" hidden="false" customHeight="false" outlineLevel="0" collapsed="false">
      <c r="B7" s="8" t="s">
        <v>32</v>
      </c>
      <c r="C7" s="40" t="n">
        <f aca="false">IF(SUM(E109:AR109)=0,"нет",2067-SUM(E109:AR109))</f>
        <v>2051</v>
      </c>
    </row>
    <row r="8" customFormat="false" ht="15" hidden="false" customHeight="false" outlineLevel="0" collapsed="false">
      <c r="B8" s="8" t="s">
        <v>33</v>
      </c>
      <c r="C8" s="26" t="n">
        <f aca="false">1+C5/SUMPRODUCT(E93:AR93,E106:AR106)</f>
        <v>1.05360410051843</v>
      </c>
    </row>
    <row r="9" customFormat="false" ht="15" hidden="false" customHeight="false" outlineLevel="0" collapsed="false">
      <c r="B9" s="8" t="s">
        <v>34</v>
      </c>
      <c r="C9" s="41" t="n">
        <f aca="false">D93</f>
        <v>362.294393226489</v>
      </c>
    </row>
    <row r="10" customFormat="false" ht="15" hidden="false" customHeight="false" outlineLevel="0" collapsed="false">
      <c r="B10" s="8" t="s">
        <v>35</v>
      </c>
      <c r="C10" s="40" t="n">
        <f aca="false">$D$42</f>
        <v>57.1428571428571</v>
      </c>
    </row>
    <row r="11" customFormat="false" ht="15" hidden="false" customHeight="false" outlineLevel="0" collapsed="false">
      <c r="B11" s="8" t="s">
        <v>301</v>
      </c>
      <c r="C11" s="15" t="n">
        <f aca="false">D50-Исходные!$C$8</f>
        <v>0.000353119104033794</v>
      </c>
    </row>
    <row r="13" customFormat="false" ht="15" hidden="false" customHeight="false" outlineLevel="0" collapsed="false">
      <c r="B13" s="6" t="s">
        <v>21</v>
      </c>
      <c r="C13" s="6" t="s">
        <v>53</v>
      </c>
      <c r="D13" s="6" t="s">
        <v>302</v>
      </c>
      <c r="E13" s="6" t="s">
        <v>199</v>
      </c>
      <c r="F13" s="6" t="s">
        <v>200</v>
      </c>
      <c r="G13" s="6" t="s">
        <v>201</v>
      </c>
      <c r="H13" s="6" t="s">
        <v>202</v>
      </c>
      <c r="I13" s="6" t="s">
        <v>203</v>
      </c>
      <c r="J13" s="6" t="s">
        <v>204</v>
      </c>
      <c r="K13" s="6" t="s">
        <v>205</v>
      </c>
      <c r="L13" s="6" t="s">
        <v>206</v>
      </c>
      <c r="M13" s="6" t="s">
        <v>207</v>
      </c>
      <c r="N13" s="6" t="s">
        <v>208</v>
      </c>
      <c r="O13" s="6" t="s">
        <v>209</v>
      </c>
      <c r="P13" s="6" t="s">
        <v>210</v>
      </c>
      <c r="Q13" s="6" t="s">
        <v>211</v>
      </c>
      <c r="R13" s="6" t="s">
        <v>212</v>
      </c>
      <c r="S13" s="6" t="s">
        <v>213</v>
      </c>
      <c r="T13" s="6" t="s">
        <v>214</v>
      </c>
      <c r="U13" s="6" t="s">
        <v>215</v>
      </c>
      <c r="V13" s="6" t="s">
        <v>216</v>
      </c>
      <c r="W13" s="6" t="s">
        <v>217</v>
      </c>
      <c r="X13" s="6" t="s">
        <v>303</v>
      </c>
      <c r="Y13" s="6" t="s">
        <v>304</v>
      </c>
      <c r="Z13" s="6" t="s">
        <v>305</v>
      </c>
      <c r="AA13" s="6" t="s">
        <v>306</v>
      </c>
      <c r="AB13" s="6" t="s">
        <v>307</v>
      </c>
      <c r="AC13" s="6" t="s">
        <v>308</v>
      </c>
      <c r="AD13" s="6" t="s">
        <v>309</v>
      </c>
      <c r="AE13" s="6" t="s">
        <v>310</v>
      </c>
      <c r="AF13" s="6" t="s">
        <v>311</v>
      </c>
      <c r="AG13" s="6" t="s">
        <v>312</v>
      </c>
      <c r="AH13" s="6" t="s">
        <v>313</v>
      </c>
      <c r="AI13" s="6" t="s">
        <v>314</v>
      </c>
      <c r="AJ13" s="6" t="s">
        <v>315</v>
      </c>
      <c r="AK13" s="6" t="s">
        <v>316</v>
      </c>
      <c r="AL13" s="6" t="s">
        <v>317</v>
      </c>
      <c r="AM13" s="6" t="s">
        <v>318</v>
      </c>
      <c r="AN13" s="6" t="s">
        <v>319</v>
      </c>
      <c r="AO13" s="6" t="s">
        <v>320</v>
      </c>
      <c r="AP13" s="6" t="s">
        <v>321</v>
      </c>
      <c r="AQ13" s="6" t="s">
        <v>322</v>
      </c>
      <c r="AR13" s="6" t="s">
        <v>323</v>
      </c>
    </row>
    <row r="14" customFormat="false" ht="15" hidden="false" customHeight="false" outlineLevel="0" collapsed="false">
      <c r="B14" s="42" t="s">
        <v>324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customFormat="false" ht="15" hidden="false" customHeight="false" outlineLevel="0" collapsed="false">
      <c r="B15" s="8" t="s">
        <v>325</v>
      </c>
      <c r="C15" s="8" t="s">
        <v>261</v>
      </c>
      <c r="D15" s="44" t="str">
        <f aca="false">Сценарии!$K$6</f>
        <v>T</v>
      </c>
    </row>
    <row r="16" customFormat="false" ht="15" hidden="false" customHeight="false" outlineLevel="0" collapsed="false">
      <c r="B16" s="8" t="s">
        <v>326</v>
      </c>
      <c r="C16" s="8" t="s">
        <v>261</v>
      </c>
      <c r="D16" s="44" t="str">
        <f aca="false">Сценарии!$K$7</f>
        <v>T</v>
      </c>
    </row>
    <row r="17" customFormat="false" ht="15" hidden="false" customHeight="false" outlineLevel="0" collapsed="false">
      <c r="B17" s="8" t="s">
        <v>327</v>
      </c>
      <c r="C17" s="8" t="s">
        <v>264</v>
      </c>
      <c r="D17" s="45" t="n">
        <f aca="false">Сценарии!$K$8</f>
        <v>1</v>
      </c>
    </row>
    <row r="18" customFormat="false" ht="15" hidden="false" customHeight="false" outlineLevel="0" collapsed="false">
      <c r="B18" s="8" t="s">
        <v>265</v>
      </c>
      <c r="C18" s="8" t="s">
        <v>266</v>
      </c>
      <c r="D18" s="46" t="n">
        <f aca="false">Сценарии!$K$9</f>
        <v>12</v>
      </c>
    </row>
    <row r="19" customFormat="false" ht="15" hidden="false" customHeight="false" outlineLevel="0" collapsed="false">
      <c r="B19" s="8" t="s">
        <v>328</v>
      </c>
      <c r="C19" s="8" t="s">
        <v>268</v>
      </c>
      <c r="D19" s="47" t="n">
        <f aca="false">Сценарии!$K$10</f>
        <v>0.071752</v>
      </c>
    </row>
    <row r="20" customFormat="false" ht="15" hidden="false" customHeight="false" outlineLevel="0" collapsed="false">
      <c r="B20" s="8" t="s">
        <v>269</v>
      </c>
      <c r="C20" s="8" t="s">
        <v>270</v>
      </c>
      <c r="D20" s="48" t="n">
        <f aca="false">Сценарии!$K$11</f>
        <v>1.5</v>
      </c>
    </row>
    <row r="21" customFormat="false" ht="15" hidden="false" customHeight="false" outlineLevel="0" collapsed="false">
      <c r="B21" s="8" t="s">
        <v>271</v>
      </c>
      <c r="C21" s="8" t="s">
        <v>272</v>
      </c>
      <c r="D21" s="48" t="n">
        <f aca="false">Сценарии!$K$12</f>
        <v>0.75</v>
      </c>
    </row>
    <row r="22" customFormat="false" ht="15" hidden="false" customHeight="false" outlineLevel="0" collapsed="false">
      <c r="B22" s="8" t="s">
        <v>329</v>
      </c>
      <c r="C22" s="8" t="s">
        <v>264</v>
      </c>
      <c r="D22" s="45" t="n">
        <f aca="false">Сценарии!$K$13</f>
        <v>0</v>
      </c>
    </row>
    <row r="23" customFormat="false" ht="15" hidden="false" customHeight="false" outlineLevel="0" collapsed="false">
      <c r="B23" s="8" t="s">
        <v>274</v>
      </c>
      <c r="C23" s="8" t="s">
        <v>93</v>
      </c>
      <c r="D23" s="49" t="n">
        <f aca="false">Сценарии!$K$14</f>
        <v>56100</v>
      </c>
    </row>
    <row r="24" customFormat="false" ht="15" hidden="false" customHeight="false" outlineLevel="0" collapsed="false">
      <c r="B24" s="8" t="s">
        <v>330</v>
      </c>
      <c r="C24" s="8" t="s">
        <v>93</v>
      </c>
      <c r="D24" s="49" t="n">
        <f aca="false">Сценарии!$K$15</f>
        <v>64500</v>
      </c>
    </row>
    <row r="25" customFormat="false" ht="15" hidden="false" customHeight="false" outlineLevel="0" collapsed="false">
      <c r="B25" s="8" t="s">
        <v>331</v>
      </c>
      <c r="C25" s="8" t="s">
        <v>77</v>
      </c>
      <c r="D25" s="49" t="n">
        <f aca="false">Сценарии!$K$16</f>
        <v>4705</v>
      </c>
    </row>
    <row r="26" customFormat="false" ht="15" hidden="false" customHeight="false" outlineLevel="0" collapsed="false">
      <c r="B26" s="8" t="s">
        <v>277</v>
      </c>
      <c r="C26" s="8" t="s">
        <v>81</v>
      </c>
      <c r="D26" s="46" t="n">
        <f aca="false">Сценарии!$K$17</f>
        <v>65</v>
      </c>
    </row>
    <row r="27" customFormat="false" ht="15" hidden="false" customHeight="false" outlineLevel="0" collapsed="false">
      <c r="B27" s="8" t="s">
        <v>332</v>
      </c>
      <c r="C27" s="8" t="s">
        <v>100</v>
      </c>
      <c r="D27" s="50" t="n">
        <f aca="false">Сценарии!$K$18</f>
        <v>0.1</v>
      </c>
    </row>
    <row r="28" customFormat="false" ht="15" hidden="false" customHeight="false" outlineLevel="0" collapsed="false">
      <c r="B28" s="8" t="s">
        <v>279</v>
      </c>
      <c r="C28" s="8" t="s">
        <v>280</v>
      </c>
      <c r="D28" s="48" t="n">
        <f aca="false">Сценарии!$K$19</f>
        <v>1</v>
      </c>
    </row>
    <row r="29" customFormat="false" ht="15" hidden="false" customHeight="false" outlineLevel="0" collapsed="false">
      <c r="B29" s="8" t="s">
        <v>281</v>
      </c>
      <c r="C29" s="8" t="s">
        <v>280</v>
      </c>
      <c r="D29" s="48" t="n">
        <f aca="false">Сценарии!$K$20</f>
        <v>1</v>
      </c>
    </row>
    <row r="30" customFormat="false" ht="15" hidden="false" customHeight="false" outlineLevel="0" collapsed="false">
      <c r="B30" s="8" t="s">
        <v>282</v>
      </c>
      <c r="C30" s="8" t="s">
        <v>270</v>
      </c>
      <c r="D30" s="46" t="n">
        <f aca="false">Сценарии!$K$21</f>
        <v>4</v>
      </c>
    </row>
    <row r="31" customFormat="false" ht="15" hidden="false" customHeight="false" outlineLevel="0" collapsed="false">
      <c r="B31" s="8" t="s">
        <v>333</v>
      </c>
      <c r="C31" s="8" t="s">
        <v>270</v>
      </c>
      <c r="D31" s="46" t="n">
        <f aca="false">Сценарии!$K$22</f>
        <v>24</v>
      </c>
    </row>
    <row r="32" customFormat="false" ht="15" hidden="false" customHeight="false" outlineLevel="0" collapsed="false">
      <c r="B32" s="8" t="s">
        <v>334</v>
      </c>
      <c r="C32" s="8" t="s">
        <v>270</v>
      </c>
      <c r="D32" s="48" t="n">
        <f aca="false">Сценарии!$K$23</f>
        <v>10.75</v>
      </c>
    </row>
    <row r="33" customFormat="false" ht="15" hidden="false" customHeight="false" outlineLevel="0" collapsed="false">
      <c r="B33" s="8" t="s">
        <v>335</v>
      </c>
      <c r="C33" s="8" t="s">
        <v>286</v>
      </c>
      <c r="D33" s="48" t="n">
        <f aca="false">Сценарии!$K$24</f>
        <v>0</v>
      </c>
    </row>
    <row r="34" customFormat="false" ht="15" hidden="false" customHeight="false" outlineLevel="0" collapsed="false">
      <c r="B34" s="8" t="s">
        <v>336</v>
      </c>
      <c r="C34" s="8" t="s">
        <v>337</v>
      </c>
      <c r="D34" s="51" t="n">
        <f aca="false">INDEX(Баланс!$D$18:$G$18,MATCH($D$15,Баланс!$D$17:$G$17,0))</f>
        <v>41.3344884872284</v>
      </c>
    </row>
    <row r="35" customFormat="false" ht="15" hidden="false" customHeight="false" outlineLevel="0" collapsed="false">
      <c r="B35" s="8" t="s">
        <v>338</v>
      </c>
      <c r="C35" s="8" t="s">
        <v>337</v>
      </c>
      <c r="D35" s="51" t="n">
        <f aca="false">INDEX(Баланс!$D$19:$G$19,MATCH($D$15,Баланс!$D$17:$G$17,0))</f>
        <v>0</v>
      </c>
    </row>
    <row r="36" customFormat="false" ht="15" hidden="false" customHeight="false" outlineLevel="0" collapsed="false">
      <c r="B36" s="8" t="s">
        <v>339</v>
      </c>
      <c r="C36" s="8" t="s">
        <v>337</v>
      </c>
      <c r="D36" s="51" t="n">
        <f aca="false">INDEX(Баланс!$D$20:$G$20,MATCH($D$15,Баланс!$D$17:$G$17,0))</f>
        <v>0</v>
      </c>
    </row>
    <row r="37" customFormat="false" ht="15" hidden="false" customHeight="false" outlineLevel="0" collapsed="false">
      <c r="B37" s="8" t="s">
        <v>340</v>
      </c>
      <c r="C37" s="8" t="s">
        <v>341</v>
      </c>
      <c r="D37" s="51" t="n">
        <f aca="false">INDEX(Баланс!$D$21:$G$21,MATCH($D$15,Баланс!$D$17:$G$17,0))</f>
        <v>988.429214607304</v>
      </c>
    </row>
    <row r="38" customFormat="false" ht="15" hidden="false" customHeight="false" outlineLevel="0" collapsed="false">
      <c r="B38" s="8" t="s">
        <v>191</v>
      </c>
      <c r="C38" s="8" t="s">
        <v>74</v>
      </c>
      <c r="D38" s="51" t="n">
        <f aca="false">INDEX(Баланс!$D$22:$G$22,MATCH($D$15,Баланс!$D$17:$G$17,0))</f>
        <v>36.5653039339633</v>
      </c>
    </row>
    <row r="39" customFormat="false" ht="15" hidden="false" customHeight="false" outlineLevel="0" collapsed="false">
      <c r="B39" s="8" t="s">
        <v>342</v>
      </c>
      <c r="C39" s="8" t="s">
        <v>77</v>
      </c>
      <c r="D39" s="52" t="n">
        <f aca="false">$D$25*$D$38/Исходные!$C$12</f>
        <v>5201.39108111017</v>
      </c>
    </row>
    <row r="40" customFormat="false" ht="15" hidden="false" customHeight="false" outlineLevel="0" collapsed="false">
      <c r="B40" s="8" t="s">
        <v>343</v>
      </c>
      <c r="C40" s="8" t="s">
        <v>93</v>
      </c>
      <c r="D40" s="52" t="n">
        <f aca="false">($D$26-Исходные!$C$16)*Исходные!$C$17*Исходные!$C$15-Исходные!$C$18</f>
        <v>37376</v>
      </c>
    </row>
    <row r="41" customFormat="false" ht="15" hidden="false" customHeight="false" outlineLevel="0" collapsed="false">
      <c r="B41" s="8" t="s">
        <v>344</v>
      </c>
      <c r="C41" s="8" t="s">
        <v>280</v>
      </c>
      <c r="D41" s="51" t="n">
        <f aca="false">($D$18/14)^0.7</f>
        <v>0.897712447900092</v>
      </c>
    </row>
    <row r="42" customFormat="false" ht="15" hidden="false" customHeight="false" outlineLevel="0" collapsed="false">
      <c r="B42" s="8" t="s">
        <v>345</v>
      </c>
      <c r="C42" s="8" t="s">
        <v>346</v>
      </c>
      <c r="D42" s="53" t="n">
        <f aca="false">100*$D$18/14*0.5/$D$21</f>
        <v>57.1428571428571</v>
      </c>
    </row>
    <row r="43" customFormat="false" ht="15" hidden="false" customHeight="false" outlineLevel="0" collapsed="false">
      <c r="B43" s="8" t="s">
        <v>347</v>
      </c>
      <c r="C43" s="8" t="s">
        <v>348</v>
      </c>
      <c r="D43" s="51" t="n">
        <f aca="false">(Исходные!$C$39+Исходные!$C$40)/Исходные!$C$38/1000</f>
        <v>0.0765027322404372</v>
      </c>
    </row>
    <row r="44" customFormat="false" ht="15" hidden="false" customHeight="false" outlineLevel="0" collapsed="false">
      <c r="B44" s="8" t="s">
        <v>349</v>
      </c>
      <c r="C44" s="8" t="s">
        <v>266</v>
      </c>
      <c r="D44" s="51" t="n">
        <f aca="false">$D$43/Исходные!$C$37</f>
        <v>0.186592029854725</v>
      </c>
    </row>
    <row r="45" customFormat="false" ht="15" hidden="false" customHeight="false" outlineLevel="0" collapsed="false">
      <c r="B45" s="42" t="s">
        <v>350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customFormat="false" ht="15" hidden="false" customHeight="false" outlineLevel="0" collapsed="false">
      <c r="B46" s="8" t="s">
        <v>351</v>
      </c>
      <c r="C46" s="8"/>
      <c r="E46" s="20" t="n">
        <v>2027</v>
      </c>
      <c r="F46" s="20" t="n">
        <v>2028</v>
      </c>
      <c r="G46" s="20" t="n">
        <v>2029</v>
      </c>
      <c r="H46" s="20" t="n">
        <v>2030</v>
      </c>
      <c r="I46" s="20" t="n">
        <v>2031</v>
      </c>
      <c r="J46" s="20" t="n">
        <v>2032</v>
      </c>
      <c r="K46" s="20" t="n">
        <v>2033</v>
      </c>
      <c r="L46" s="20" t="n">
        <v>2034</v>
      </c>
      <c r="M46" s="20" t="n">
        <v>2035</v>
      </c>
      <c r="N46" s="20" t="n">
        <v>2036</v>
      </c>
      <c r="O46" s="20" t="n">
        <v>2037</v>
      </c>
      <c r="P46" s="20" t="n">
        <v>2038</v>
      </c>
      <c r="Q46" s="20" t="n">
        <v>2039</v>
      </c>
      <c r="R46" s="20" t="n">
        <v>2040</v>
      </c>
      <c r="S46" s="20" t="n">
        <v>2041</v>
      </c>
      <c r="T46" s="20" t="n">
        <v>2042</v>
      </c>
      <c r="U46" s="20" t="n">
        <v>2043</v>
      </c>
      <c r="V46" s="20" t="n">
        <v>2044</v>
      </c>
      <c r="W46" s="20" t="n">
        <v>2045</v>
      </c>
      <c r="X46" s="20" t="n">
        <v>2046</v>
      </c>
      <c r="Y46" s="20" t="n">
        <v>2047</v>
      </c>
      <c r="Z46" s="20" t="n">
        <v>2048</v>
      </c>
      <c r="AA46" s="20" t="n">
        <v>2049</v>
      </c>
      <c r="AB46" s="20" t="n">
        <v>2050</v>
      </c>
      <c r="AC46" s="20" t="n">
        <v>2051</v>
      </c>
      <c r="AD46" s="20" t="n">
        <v>2052</v>
      </c>
      <c r="AE46" s="20" t="n">
        <v>2053</v>
      </c>
      <c r="AF46" s="20" t="n">
        <v>2054</v>
      </c>
      <c r="AG46" s="20" t="n">
        <v>2055</v>
      </c>
      <c r="AH46" s="20" t="n">
        <v>2056</v>
      </c>
      <c r="AI46" s="20" t="n">
        <v>2057</v>
      </c>
      <c r="AJ46" s="20" t="n">
        <v>2058</v>
      </c>
      <c r="AK46" s="20" t="n">
        <v>2059</v>
      </c>
      <c r="AL46" s="20" t="n">
        <v>2060</v>
      </c>
      <c r="AM46" s="20" t="n">
        <v>2061</v>
      </c>
      <c r="AN46" s="20" t="n">
        <v>2062</v>
      </c>
      <c r="AO46" s="20" t="n">
        <v>2063</v>
      </c>
      <c r="AP46" s="20" t="n">
        <v>2064</v>
      </c>
      <c r="AQ46" s="20" t="n">
        <v>2065</v>
      </c>
      <c r="AR46" s="20" t="n">
        <v>2066</v>
      </c>
    </row>
    <row r="47" customFormat="false" ht="15" hidden="false" customHeight="false" outlineLevel="0" collapsed="false">
      <c r="B47" s="8" t="s">
        <v>352</v>
      </c>
      <c r="C47" s="8"/>
      <c r="E47" s="40" t="n">
        <f aca="false">E46-2027</f>
        <v>0</v>
      </c>
      <c r="F47" s="40" t="n">
        <f aca="false">F46-2027</f>
        <v>1</v>
      </c>
      <c r="G47" s="40" t="n">
        <f aca="false">G46-2027</f>
        <v>2</v>
      </c>
      <c r="H47" s="40" t="n">
        <f aca="false">H46-2027</f>
        <v>3</v>
      </c>
      <c r="I47" s="40" t="n">
        <f aca="false">I46-2027</f>
        <v>4</v>
      </c>
      <c r="J47" s="40" t="n">
        <f aca="false">J46-2027</f>
        <v>5</v>
      </c>
      <c r="K47" s="40" t="n">
        <f aca="false">K46-2027</f>
        <v>6</v>
      </c>
      <c r="L47" s="40" t="n">
        <f aca="false">L46-2027</f>
        <v>7</v>
      </c>
      <c r="M47" s="40" t="n">
        <f aca="false">M46-2027</f>
        <v>8</v>
      </c>
      <c r="N47" s="40" t="n">
        <f aca="false">N46-2027</f>
        <v>9</v>
      </c>
      <c r="O47" s="40" t="n">
        <f aca="false">O46-2027</f>
        <v>10</v>
      </c>
      <c r="P47" s="40" t="n">
        <f aca="false">P46-2027</f>
        <v>11</v>
      </c>
      <c r="Q47" s="40" t="n">
        <f aca="false">Q46-2027</f>
        <v>12</v>
      </c>
      <c r="R47" s="40" t="n">
        <f aca="false">R46-2027</f>
        <v>13</v>
      </c>
      <c r="S47" s="40" t="n">
        <f aca="false">S46-2027</f>
        <v>14</v>
      </c>
      <c r="T47" s="40" t="n">
        <f aca="false">T46-2027</f>
        <v>15</v>
      </c>
      <c r="U47" s="40" t="n">
        <f aca="false">U46-2027</f>
        <v>16</v>
      </c>
      <c r="V47" s="40" t="n">
        <f aca="false">V46-2027</f>
        <v>17</v>
      </c>
      <c r="W47" s="40" t="n">
        <f aca="false">W46-2027</f>
        <v>18</v>
      </c>
      <c r="X47" s="40" t="n">
        <f aca="false">X46-2027</f>
        <v>19</v>
      </c>
      <c r="Y47" s="40" t="n">
        <f aca="false">Y46-2027</f>
        <v>20</v>
      </c>
      <c r="Z47" s="40" t="n">
        <f aca="false">Z46-2027</f>
        <v>21</v>
      </c>
      <c r="AA47" s="40" t="n">
        <f aca="false">AA46-2027</f>
        <v>22</v>
      </c>
      <c r="AB47" s="40" t="n">
        <f aca="false">AB46-2027</f>
        <v>23</v>
      </c>
      <c r="AC47" s="40" t="n">
        <f aca="false">AC46-2027</f>
        <v>24</v>
      </c>
      <c r="AD47" s="40" t="n">
        <f aca="false">AD46-2027</f>
        <v>25</v>
      </c>
      <c r="AE47" s="40" t="n">
        <f aca="false">AE46-2027</f>
        <v>26</v>
      </c>
      <c r="AF47" s="40" t="n">
        <f aca="false">AF46-2027</f>
        <v>27</v>
      </c>
      <c r="AG47" s="40" t="n">
        <f aca="false">AG46-2027</f>
        <v>28</v>
      </c>
      <c r="AH47" s="40" t="n">
        <f aca="false">AH46-2027</f>
        <v>29</v>
      </c>
      <c r="AI47" s="40" t="n">
        <f aca="false">AI46-2027</f>
        <v>30</v>
      </c>
      <c r="AJ47" s="40" t="n">
        <f aca="false">AJ46-2027</f>
        <v>31</v>
      </c>
      <c r="AK47" s="40" t="n">
        <f aca="false">AK46-2027</f>
        <v>32</v>
      </c>
      <c r="AL47" s="40" t="n">
        <f aca="false">AL46-2027</f>
        <v>33</v>
      </c>
      <c r="AM47" s="40" t="n">
        <f aca="false">AM46-2027</f>
        <v>34</v>
      </c>
      <c r="AN47" s="40" t="n">
        <f aca="false">AN46-2027</f>
        <v>35</v>
      </c>
      <c r="AO47" s="40" t="n">
        <f aca="false">AO46-2027</f>
        <v>36</v>
      </c>
      <c r="AP47" s="40" t="n">
        <f aca="false">AP46-2027</f>
        <v>37</v>
      </c>
      <c r="AQ47" s="40" t="n">
        <f aca="false">AQ46-2027</f>
        <v>38</v>
      </c>
      <c r="AR47" s="40" t="n">
        <f aca="false">AR46-2027</f>
        <v>39</v>
      </c>
    </row>
    <row r="48" customFormat="false" ht="15" hidden="false" customHeight="false" outlineLevel="0" collapsed="false">
      <c r="B48" s="8" t="s">
        <v>353</v>
      </c>
      <c r="C48" s="8" t="s">
        <v>264</v>
      </c>
      <c r="E48" s="20" t="n">
        <v>0</v>
      </c>
      <c r="F48" s="40" t="n">
        <f aca="false">IF(F46&lt;=Исходные!$C$9+1,0,IF(OR(E48=1,E51+$D$18&gt;Исходные!$C$10*Исходные!$C$8),1,0))</f>
        <v>0</v>
      </c>
      <c r="G48" s="40" t="n">
        <f aca="false">IF(G46&lt;=Исходные!$C$9+1,0,IF(OR(F48=1,F51+$D$18&gt;Исходные!$C$10*Исходные!$C$8),1,0))</f>
        <v>0</v>
      </c>
      <c r="H48" s="40" t="n">
        <f aca="false">IF(H46&lt;=Исходные!$C$9+1,0,IF(OR(G48=1,G51+$D$18&gt;Исходные!$C$10*Исходные!$C$8),1,0))</f>
        <v>0</v>
      </c>
      <c r="I48" s="40" t="n">
        <f aca="false">IF(I46&lt;=Исходные!$C$9+1,0,IF(OR(H48=1,H51+$D$18&gt;Исходные!$C$10*Исходные!$C$8),1,0))</f>
        <v>0</v>
      </c>
      <c r="J48" s="40" t="n">
        <f aca="false">IF(J46&lt;=Исходные!$C$9+1,0,IF(OR(I48=1,I51+$D$18&gt;Исходные!$C$10*Исходные!$C$8),1,0))</f>
        <v>0</v>
      </c>
      <c r="K48" s="40" t="n">
        <f aca="false">IF(K46&lt;=Исходные!$C$9+1,0,IF(OR(J48=1,J51+$D$18&gt;Исходные!$C$10*Исходные!$C$8),1,0))</f>
        <v>0</v>
      </c>
      <c r="L48" s="40" t="n">
        <f aca="false">IF(L46&lt;=Исходные!$C$9+1,0,IF(OR(K48=1,K51+$D$18&gt;Исходные!$C$10*Исходные!$C$8),1,0))</f>
        <v>0</v>
      </c>
      <c r="M48" s="40" t="n">
        <f aca="false">IF(M46&lt;=Исходные!$C$9+1,0,IF(OR(L48=1,L51+$D$18&gt;Исходные!$C$10*Исходные!$C$8),1,0))</f>
        <v>0</v>
      </c>
      <c r="N48" s="40" t="n">
        <f aca="false">IF(N46&lt;=Исходные!$C$9+1,0,IF(OR(M48=1,M51+$D$18&gt;Исходные!$C$10*Исходные!$C$8),1,0))</f>
        <v>0</v>
      </c>
      <c r="O48" s="40" t="n">
        <f aca="false">IF(O46&lt;=Исходные!$C$9+1,0,IF(OR(N48=1,N51+$D$18&gt;Исходные!$C$10*Исходные!$C$8),1,0))</f>
        <v>0</v>
      </c>
      <c r="P48" s="40" t="n">
        <f aca="false">IF(P46&lt;=Исходные!$C$9+1,0,IF(OR(O48=1,O51+$D$18&gt;Исходные!$C$10*Исходные!$C$8),1,0))</f>
        <v>0</v>
      </c>
      <c r="Q48" s="40" t="n">
        <f aca="false">IF(Q46&lt;=Исходные!$C$9+1,0,IF(OR(P48=1,P51+$D$18&gt;Исходные!$C$10*Исходные!$C$8),1,0))</f>
        <v>0</v>
      </c>
      <c r="R48" s="40" t="n">
        <f aca="false">IF(R46&lt;=Исходные!$C$9+1,0,IF(OR(Q48=1,Q51+$D$18&gt;Исходные!$C$10*Исходные!$C$8),1,0))</f>
        <v>0</v>
      </c>
      <c r="S48" s="40" t="n">
        <f aca="false">IF(S46&lt;=Исходные!$C$9+1,0,IF(OR(R48=1,R51+$D$18&gt;Исходные!$C$10*Исходные!$C$8),1,0))</f>
        <v>0</v>
      </c>
      <c r="T48" s="40" t="n">
        <f aca="false">IF(T46&lt;=Исходные!$C$9+1,0,IF(OR(S48=1,S51+$D$18&gt;Исходные!$C$10*Исходные!$C$8),1,0))</f>
        <v>0</v>
      </c>
      <c r="U48" s="40" t="n">
        <f aca="false">IF(U46&lt;=Исходные!$C$9+1,0,IF(OR(T48=1,T51+$D$18&gt;Исходные!$C$10*Исходные!$C$8),1,0))</f>
        <v>0</v>
      </c>
      <c r="V48" s="40" t="n">
        <f aca="false">IF(V46&lt;=Исходные!$C$9+1,0,IF(OR(U48=1,U51+$D$18&gt;Исходные!$C$10*Исходные!$C$8),1,0))</f>
        <v>1</v>
      </c>
      <c r="W48" s="40" t="n">
        <f aca="false">IF(W46&lt;=Исходные!$C$9+1,0,IF(OR(V48=1,V51+$D$18&gt;Исходные!$C$10*Исходные!$C$8),1,0))</f>
        <v>1</v>
      </c>
      <c r="X48" s="40" t="n">
        <f aca="false">IF(X46&lt;=Исходные!$C$9+1,0,IF(OR(W48=1,W51+$D$18&gt;Исходные!$C$10*Исходные!$C$8),1,0))</f>
        <v>1</v>
      </c>
      <c r="Y48" s="40" t="n">
        <f aca="false">IF(Y46&lt;=Исходные!$C$9+1,0,IF(OR(X48=1,X51+$D$18&gt;Исходные!$C$10*Исходные!$C$8),1,0))</f>
        <v>1</v>
      </c>
      <c r="Z48" s="40" t="n">
        <f aca="false">IF(Z46&lt;=Исходные!$C$9+1,0,IF(OR(Y48=1,Y51+$D$18&gt;Исходные!$C$10*Исходные!$C$8),1,0))</f>
        <v>1</v>
      </c>
      <c r="AA48" s="40" t="n">
        <f aca="false">IF(AA46&lt;=Исходные!$C$9+1,0,IF(OR(Z48=1,Z51+$D$18&gt;Исходные!$C$10*Исходные!$C$8),1,0))</f>
        <v>1</v>
      </c>
      <c r="AB48" s="40" t="n">
        <f aca="false">IF(AB46&lt;=Исходные!$C$9+1,0,IF(OR(AA48=1,AA51+$D$18&gt;Исходные!$C$10*Исходные!$C$8),1,0))</f>
        <v>1</v>
      </c>
      <c r="AC48" s="40" t="n">
        <f aca="false">IF(AC46&lt;=Исходные!$C$9+1,0,IF(OR(AB48=1,AB51+$D$18&gt;Исходные!$C$10*Исходные!$C$8),1,0))</f>
        <v>1</v>
      </c>
      <c r="AD48" s="40" t="n">
        <f aca="false">IF(AD46&lt;=Исходные!$C$9+1,0,IF(OR(AC48=1,AC51+$D$18&gt;Исходные!$C$10*Исходные!$C$8),1,0))</f>
        <v>1</v>
      </c>
      <c r="AE48" s="40" t="n">
        <f aca="false">IF(AE46&lt;=Исходные!$C$9+1,0,IF(OR(AD48=1,AD51+$D$18&gt;Исходные!$C$10*Исходные!$C$8),1,0))</f>
        <v>1</v>
      </c>
      <c r="AF48" s="40" t="n">
        <f aca="false">IF(AF46&lt;=Исходные!$C$9+1,0,IF(OR(AE48=1,AE51+$D$18&gt;Исходные!$C$10*Исходные!$C$8),1,0))</f>
        <v>1</v>
      </c>
      <c r="AG48" s="40" t="n">
        <f aca="false">IF(AG46&lt;=Исходные!$C$9+1,0,IF(OR(AF48=1,AF51+$D$18&gt;Исходные!$C$10*Исходные!$C$8),1,0))</f>
        <v>1</v>
      </c>
      <c r="AH48" s="40" t="n">
        <f aca="false">IF(AH46&lt;=Исходные!$C$9+1,0,IF(OR(AG48=1,AG51+$D$18&gt;Исходные!$C$10*Исходные!$C$8),1,0))</f>
        <v>1</v>
      </c>
      <c r="AI48" s="40" t="n">
        <f aca="false">IF(AI46&lt;=Исходные!$C$9+1,0,IF(OR(AH48=1,AH51+$D$18&gt;Исходные!$C$10*Исходные!$C$8),1,0))</f>
        <v>1</v>
      </c>
      <c r="AJ48" s="40" t="n">
        <f aca="false">IF(AJ46&lt;=Исходные!$C$9+1,0,IF(OR(AI48=1,AI51+$D$18&gt;Исходные!$C$10*Исходные!$C$8),1,0))</f>
        <v>1</v>
      </c>
      <c r="AK48" s="40" t="n">
        <f aca="false">IF(AK46&lt;=Исходные!$C$9+1,0,IF(OR(AJ48=1,AJ51+$D$18&gt;Исходные!$C$10*Исходные!$C$8),1,0))</f>
        <v>1</v>
      </c>
      <c r="AL48" s="40" t="n">
        <f aca="false">IF(AL46&lt;=Исходные!$C$9+1,0,IF(OR(AK48=1,AK51+$D$18&gt;Исходные!$C$10*Исходные!$C$8),1,0))</f>
        <v>1</v>
      </c>
      <c r="AM48" s="40" t="n">
        <f aca="false">IF(AM46&lt;=Исходные!$C$9+1,0,IF(OR(AL48=1,AL51+$D$18&gt;Исходные!$C$10*Исходные!$C$8),1,0))</f>
        <v>1</v>
      </c>
      <c r="AN48" s="40" t="n">
        <f aca="false">IF(AN46&lt;=Исходные!$C$9+1,0,IF(OR(AM48=1,AM51+$D$18&gt;Исходные!$C$10*Исходные!$C$8),1,0))</f>
        <v>1</v>
      </c>
      <c r="AO48" s="40" t="n">
        <f aca="false">IF(AO46&lt;=Исходные!$C$9+1,0,IF(OR(AN48=1,AN51+$D$18&gt;Исходные!$C$10*Исходные!$C$8),1,0))</f>
        <v>1</v>
      </c>
      <c r="AP48" s="40" t="n">
        <f aca="false">IF(AP46&lt;=Исходные!$C$9+1,0,IF(OR(AO48=1,AO51+$D$18&gt;Исходные!$C$10*Исходные!$C$8),1,0))</f>
        <v>1</v>
      </c>
      <c r="AQ48" s="40" t="n">
        <f aca="false">IF(AQ46&lt;=Исходные!$C$9+1,0,IF(OR(AP48=1,AP51+$D$18&gt;Исходные!$C$10*Исходные!$C$8),1,0))</f>
        <v>1</v>
      </c>
      <c r="AR48" s="40" t="n">
        <f aca="false">IF(AR46&lt;=Исходные!$C$9+1,0,IF(OR(AQ48=1,AQ51+$D$18&gt;Исходные!$C$10*Исходные!$C$8),1,0))</f>
        <v>1</v>
      </c>
    </row>
    <row r="49" customFormat="false" ht="15" hidden="false" customHeight="false" outlineLevel="0" collapsed="false">
      <c r="B49" s="8" t="s">
        <v>354</v>
      </c>
      <c r="C49" s="8"/>
      <c r="E49" s="20" t="n">
        <v>0</v>
      </c>
      <c r="F49" s="40" t="n">
        <f aca="false">IF(F48=1,E49+1,0)</f>
        <v>0</v>
      </c>
      <c r="G49" s="40" t="n">
        <f aca="false">IF(G48=1,F49+1,0)</f>
        <v>0</v>
      </c>
      <c r="H49" s="40" t="n">
        <f aca="false">IF(H48=1,G49+1,0)</f>
        <v>0</v>
      </c>
      <c r="I49" s="40" t="n">
        <f aca="false">IF(I48=1,H49+1,0)</f>
        <v>0</v>
      </c>
      <c r="J49" s="40" t="n">
        <f aca="false">IF(J48=1,I49+1,0)</f>
        <v>0</v>
      </c>
      <c r="K49" s="40" t="n">
        <f aca="false">IF(K48=1,J49+1,0)</f>
        <v>0</v>
      </c>
      <c r="L49" s="40" t="n">
        <f aca="false">IF(L48=1,K49+1,0)</f>
        <v>0</v>
      </c>
      <c r="M49" s="40" t="n">
        <f aca="false">IF(M48=1,L49+1,0)</f>
        <v>0</v>
      </c>
      <c r="N49" s="40" t="n">
        <f aca="false">IF(N48=1,M49+1,0)</f>
        <v>0</v>
      </c>
      <c r="O49" s="40" t="n">
        <f aca="false">IF(O48=1,N49+1,0)</f>
        <v>0</v>
      </c>
      <c r="P49" s="40" t="n">
        <f aca="false">IF(P48=1,O49+1,0)</f>
        <v>0</v>
      </c>
      <c r="Q49" s="40" t="n">
        <f aca="false">IF(Q48=1,P49+1,0)</f>
        <v>0</v>
      </c>
      <c r="R49" s="40" t="n">
        <f aca="false">IF(R48=1,Q49+1,0)</f>
        <v>0</v>
      </c>
      <c r="S49" s="40" t="n">
        <f aca="false">IF(S48=1,R49+1,0)</f>
        <v>0</v>
      </c>
      <c r="T49" s="40" t="n">
        <f aca="false">IF(T48=1,S49+1,0)</f>
        <v>0</v>
      </c>
      <c r="U49" s="40" t="n">
        <f aca="false">IF(U48=1,T49+1,0)</f>
        <v>0</v>
      </c>
      <c r="V49" s="40" t="n">
        <f aca="false">IF(V48=1,U49+1,0)</f>
        <v>1</v>
      </c>
      <c r="W49" s="40" t="n">
        <f aca="false">IF(W48=1,V49+1,0)</f>
        <v>2</v>
      </c>
      <c r="X49" s="40" t="n">
        <f aca="false">IF(X48=1,W49+1,0)</f>
        <v>3</v>
      </c>
      <c r="Y49" s="40" t="n">
        <f aca="false">IF(Y48=1,X49+1,0)</f>
        <v>4</v>
      </c>
      <c r="Z49" s="40" t="n">
        <f aca="false">IF(Z48=1,Y49+1,0)</f>
        <v>5</v>
      </c>
      <c r="AA49" s="40" t="n">
        <f aca="false">IF(AA48=1,Z49+1,0)</f>
        <v>6</v>
      </c>
      <c r="AB49" s="40" t="n">
        <f aca="false">IF(AB48=1,AA49+1,0)</f>
        <v>7</v>
      </c>
      <c r="AC49" s="40" t="n">
        <f aca="false">IF(AC48=1,AB49+1,0)</f>
        <v>8</v>
      </c>
      <c r="AD49" s="40" t="n">
        <f aca="false">IF(AD48=1,AC49+1,0)</f>
        <v>9</v>
      </c>
      <c r="AE49" s="40" t="n">
        <f aca="false">IF(AE48=1,AD49+1,0)</f>
        <v>10</v>
      </c>
      <c r="AF49" s="40" t="n">
        <f aca="false">IF(AF48=1,AE49+1,0)</f>
        <v>11</v>
      </c>
      <c r="AG49" s="40" t="n">
        <f aca="false">IF(AG48=1,AF49+1,0)</f>
        <v>12</v>
      </c>
      <c r="AH49" s="40" t="n">
        <f aca="false">IF(AH48=1,AG49+1,0)</f>
        <v>13</v>
      </c>
      <c r="AI49" s="40" t="n">
        <f aca="false">IF(AI48=1,AH49+1,0)</f>
        <v>14</v>
      </c>
      <c r="AJ49" s="40" t="n">
        <f aca="false">IF(AJ48=1,AI49+1,0)</f>
        <v>15</v>
      </c>
      <c r="AK49" s="40" t="n">
        <f aca="false">IF(AK48=1,AJ49+1,0)</f>
        <v>16</v>
      </c>
      <c r="AL49" s="40" t="n">
        <f aca="false">IF(AL48=1,AK49+1,0)</f>
        <v>17</v>
      </c>
      <c r="AM49" s="40" t="n">
        <f aca="false">IF(AM48=1,AL49+1,0)</f>
        <v>18</v>
      </c>
      <c r="AN49" s="40" t="n">
        <f aca="false">IF(AN48=1,AM49+1,0)</f>
        <v>19</v>
      </c>
      <c r="AO49" s="40" t="n">
        <f aca="false">IF(AO48=1,AN49+1,0)</f>
        <v>20</v>
      </c>
      <c r="AP49" s="40" t="n">
        <f aca="false">IF(AP48=1,AO49+1,0)</f>
        <v>21</v>
      </c>
      <c r="AQ49" s="40" t="n">
        <f aca="false">IF(AQ48=1,AP49+1,0)</f>
        <v>22</v>
      </c>
      <c r="AR49" s="40" t="n">
        <f aca="false">IF(AR48=1,AQ49+1,0)</f>
        <v>23</v>
      </c>
    </row>
    <row r="50" customFormat="false" ht="15" hidden="false" customHeight="false" outlineLevel="0" collapsed="false">
      <c r="B50" s="8" t="s">
        <v>355</v>
      </c>
      <c r="C50" s="8" t="s">
        <v>57</v>
      </c>
      <c r="D50" s="15" t="n">
        <f aca="false">SUM(E50:AR50)</f>
        <v>275.200353119104</v>
      </c>
      <c r="E50" s="15" t="n">
        <f aca="false">IF(E46&lt;Исходные!$C$9,0,IF(E46=Исходные!$C$9,$D$18*5/14,IF(E46=Исходные!$C$9+1,$D$18*10/14,IF(E48=1,$D$18*EXP(-$D$19*E49),$D$18))))</f>
        <v>0</v>
      </c>
      <c r="F50" s="15" t="n">
        <f aca="false">IF(F46&lt;Исходные!$C$9,0,IF(F46=Исходные!$C$9,$D$18*5/14,IF(F46=Исходные!$C$9+1,$D$18*10/14,IF(F48=1,$D$18*EXP(-$D$19*F49),$D$18))))</f>
        <v>0</v>
      </c>
      <c r="G50" s="15" t="n">
        <f aca="false">IF(G46&lt;Исходные!$C$9,0,IF(G46=Исходные!$C$9,$D$18*5/14,IF(G46=Исходные!$C$9+1,$D$18*10/14,IF(G48=1,$D$18*EXP(-$D$19*G49),$D$18))))</f>
        <v>0</v>
      </c>
      <c r="H50" s="15" t="n">
        <f aca="false">IF(H46&lt;Исходные!$C$9,0,IF(H46=Исходные!$C$9,$D$18*5/14,IF(H46=Исходные!$C$9+1,$D$18*10/14,IF(H48=1,$D$18*EXP(-$D$19*H49),$D$18))))</f>
        <v>0</v>
      </c>
      <c r="I50" s="15" t="n">
        <f aca="false">IF(I46&lt;Исходные!$C$9,0,IF(I46=Исходные!$C$9,$D$18*5/14,IF(I46=Исходные!$C$9+1,$D$18*10/14,IF(I48=1,$D$18*EXP(-$D$19*I49),$D$18))))</f>
        <v>4.28571428571429</v>
      </c>
      <c r="J50" s="15" t="n">
        <f aca="false">IF(J46&lt;Исходные!$C$9,0,IF(J46=Исходные!$C$9,$D$18*5/14,IF(J46=Исходные!$C$9+1,$D$18*10/14,IF(J48=1,$D$18*EXP(-$D$19*J49),$D$18))))</f>
        <v>8.57142857142857</v>
      </c>
      <c r="K50" s="15" t="n">
        <f aca="false">IF(K46&lt;Исходные!$C$9,0,IF(K46=Исходные!$C$9,$D$18*5/14,IF(K46=Исходные!$C$9+1,$D$18*10/14,IF(K48=1,$D$18*EXP(-$D$19*K49),$D$18))))</f>
        <v>12</v>
      </c>
      <c r="L50" s="15" t="n">
        <f aca="false">IF(L46&lt;Исходные!$C$9,0,IF(L46=Исходные!$C$9,$D$18*5/14,IF(L46=Исходные!$C$9+1,$D$18*10/14,IF(L48=1,$D$18*EXP(-$D$19*L49),$D$18))))</f>
        <v>12</v>
      </c>
      <c r="M50" s="15" t="n">
        <f aca="false">IF(M46&lt;Исходные!$C$9,0,IF(M46=Исходные!$C$9,$D$18*5/14,IF(M46=Исходные!$C$9+1,$D$18*10/14,IF(M48=1,$D$18*EXP(-$D$19*M49),$D$18))))</f>
        <v>12</v>
      </c>
      <c r="N50" s="15" t="n">
        <f aca="false">IF(N46&lt;Исходные!$C$9,0,IF(N46=Исходные!$C$9,$D$18*5/14,IF(N46=Исходные!$C$9+1,$D$18*10/14,IF(N48=1,$D$18*EXP(-$D$19*N49),$D$18))))</f>
        <v>12</v>
      </c>
      <c r="O50" s="15" t="n">
        <f aca="false">IF(O46&lt;Исходные!$C$9,0,IF(O46=Исходные!$C$9,$D$18*5/14,IF(O46=Исходные!$C$9+1,$D$18*10/14,IF(O48=1,$D$18*EXP(-$D$19*O49),$D$18))))</f>
        <v>12</v>
      </c>
      <c r="P50" s="15" t="n">
        <f aca="false">IF(P46&lt;Исходные!$C$9,0,IF(P46=Исходные!$C$9,$D$18*5/14,IF(P46=Исходные!$C$9+1,$D$18*10/14,IF(P48=1,$D$18*EXP(-$D$19*P49),$D$18))))</f>
        <v>12</v>
      </c>
      <c r="Q50" s="15" t="n">
        <f aca="false">IF(Q46&lt;Исходные!$C$9,0,IF(Q46=Исходные!$C$9,$D$18*5/14,IF(Q46=Исходные!$C$9+1,$D$18*10/14,IF(Q48=1,$D$18*EXP(-$D$19*Q49),$D$18))))</f>
        <v>12</v>
      </c>
      <c r="R50" s="15" t="n">
        <f aca="false">IF(R46&lt;Исходные!$C$9,0,IF(R46=Исходные!$C$9,$D$18*5/14,IF(R46=Исходные!$C$9+1,$D$18*10/14,IF(R48=1,$D$18*EXP(-$D$19*R49),$D$18))))</f>
        <v>12</v>
      </c>
      <c r="S50" s="15" t="n">
        <f aca="false">IF(S46&lt;Исходные!$C$9,0,IF(S46=Исходные!$C$9,$D$18*5/14,IF(S46=Исходные!$C$9+1,$D$18*10/14,IF(S48=1,$D$18*EXP(-$D$19*S49),$D$18))))</f>
        <v>12</v>
      </c>
      <c r="T50" s="15" t="n">
        <f aca="false">IF(T46&lt;Исходные!$C$9,0,IF(T46=Исходные!$C$9,$D$18*5/14,IF(T46=Исходные!$C$9+1,$D$18*10/14,IF(T48=1,$D$18*EXP(-$D$19*T49),$D$18))))</f>
        <v>12</v>
      </c>
      <c r="U50" s="15" t="n">
        <f aca="false">IF(U46&lt;Исходные!$C$9,0,IF(U46=Исходные!$C$9,$D$18*5/14,IF(U46=Исходные!$C$9+1,$D$18*10/14,IF(U48=1,$D$18*EXP(-$D$19*U49),$D$18))))</f>
        <v>12</v>
      </c>
      <c r="V50" s="15" t="n">
        <f aca="false">IF(V46&lt;Исходные!$C$9,0,IF(V46=Исходные!$C$9,$D$18*5/14,IF(V46=Исходные!$C$9+1,$D$18*10/14,IF(V48=1,$D$18*EXP(-$D$19*V49),$D$18))))</f>
        <v>11.169140353097</v>
      </c>
      <c r="W50" s="15" t="n">
        <f aca="false">IF(W46&lt;Исходные!$C$9,0,IF(W46=Исходные!$C$9,$D$18*5/14,IF(W46=Исходные!$C$9+1,$D$18*10/14,IF(W48=1,$D$18*EXP(-$D$19*W49),$D$18))))</f>
        <v>10.3958080189317</v>
      </c>
      <c r="X50" s="15" t="n">
        <f aca="false">IF(X46&lt;Исходные!$C$9,0,IF(X46=Исходные!$C$9,$D$18*5/14,IF(X46=Исходные!$C$9+1,$D$18*10/14,IF(X48=1,$D$18*EXP(-$D$19*X49),$D$18))))</f>
        <v>9.67601990394164</v>
      </c>
      <c r="Y50" s="15" t="n">
        <f aca="false">IF(Y46&lt;Исходные!$C$9,0,IF(Y46=Исходные!$C$9,$D$18*5/14,IF(Y46=Исходные!$C$9+1,$D$18*10/14,IF(Y48=1,$D$18*EXP(-$D$19*Y49),$D$18))))</f>
        <v>9.00606869720704</v>
      </c>
      <c r="Z50" s="15" t="n">
        <f aca="false">IF(Z46&lt;Исходные!$C$9,0,IF(Z46=Исходные!$C$9,$D$18*5/14,IF(Z46=Исходные!$C$9+1,$D$18*10/14,IF(Z48=1,$D$18*EXP(-$D$19*Z49),$D$18))))</f>
        <v>8.38250377572826</v>
      </c>
      <c r="AA50" s="15" t="n">
        <f aca="false">IF(AA46&lt;Исходные!$C$9,0,IF(AA46=Исходные!$C$9,$D$18*5/14,IF(AA46=Исходные!$C$9+1,$D$18*10/14,IF(AA48=1,$D$18*EXP(-$D$19*AA49),$D$18))))</f>
        <v>7.80211343178956</v>
      </c>
      <c r="AB50" s="15" t="n">
        <f aca="false">IF(AB46&lt;Исходные!$C$9,0,IF(AB46=Исходные!$C$9,$D$18*5/14,IF(AB46=Исходные!$C$9+1,$D$18*10/14,IF(AB48=1,$D$18*EXP(-$D$19*AB49),$D$18))))</f>
        <v>7.26190833087009</v>
      </c>
      <c r="AC50" s="15" t="n">
        <f aca="false">IF(AC46&lt;Исходные!$C$9,0,IF(AC46=Исходные!$C$9,$D$18*5/14,IF(AC46=Исходные!$C$9+1,$D$18*10/14,IF(AC48=1,$D$18*EXP(-$D$19*AC49),$D$18))))</f>
        <v>6.75910611490105</v>
      </c>
      <c r="AD50" s="15" t="n">
        <f aca="false">IF(AD46&lt;Исходные!$C$9,0,IF(AD46=Исходные!$C$9,$D$18*5/14,IF(AD46=Исходные!$C$9+1,$D$18*10/14,IF(AD48=1,$D$18*EXP(-$D$19*AD49),$D$18))))</f>
        <v>6.29111707156718</v>
      </c>
      <c r="AE50" s="15" t="n">
        <f aca="false">IF(AE46&lt;Исходные!$C$9,0,IF(AE46=Исходные!$C$9,$D$18*5/14,IF(AE46=Исходные!$C$9+1,$D$18*10/14,IF(AE48=1,$D$18*EXP(-$D$19*AE49),$D$18))))</f>
        <v>5.85553079584155</v>
      </c>
      <c r="AF50" s="15" t="n">
        <f aca="false">IF(AF46&lt;Исходные!$C$9,0,IF(AF46=Исходные!$C$9,$D$18*5/14,IF(AF46=Исходные!$C$9+1,$D$18*10/14,IF(AF48=1,$D$18*EXP(-$D$19*AF49),$D$18))))</f>
        <v>5.45010377505301</v>
      </c>
      <c r="AG50" s="15" t="n">
        <f aca="false">IF(AG46&lt;Исходные!$C$9,0,IF(AG46=Исходные!$C$9,$D$18*5/14,IF(AG46=Исходные!$C$9+1,$D$18*10/14,IF(AG48=1,$D$18*EXP(-$D$19*AG49),$D$18))))</f>
        <v>5.07274783354259</v>
      </c>
      <c r="AH50" s="15" t="n">
        <f aca="false">IF(AH46&lt;Исходные!$C$9,0,IF(AH46=Исходные!$C$9,$D$18*5/14,IF(AH46=Исходные!$C$9+1,$D$18*10/14,IF(AH48=1,$D$18*EXP(-$D$19*AH49),$D$18))))</f>
        <v>4.72151937739217</v>
      </c>
      <c r="AI50" s="15" t="n">
        <f aca="false">IF(AI46&lt;Исходные!$C$9,0,IF(AI46=Исходные!$C$9,$D$18*5/14,IF(AI46=Исходные!$C$9+1,$D$18*10/14,IF(AI48=1,$D$18*EXP(-$D$19*AI49),$D$18))))</f>
        <v>4.39460938383003</v>
      </c>
      <c r="AJ50" s="15" t="n">
        <f aca="false">IF(AJ46&lt;Исходные!$C$9,0,IF(AJ46=Исходные!$C$9,$D$18*5/14,IF(AJ46=Исходные!$C$9+1,$D$18*10/14,IF(AJ48=1,$D$18*EXP(-$D$19*AJ49),$D$18))))</f>
        <v>4.09033408375291</v>
      </c>
      <c r="AK50" s="15" t="n">
        <f aca="false">IF(AK46&lt;Исходные!$C$9,0,IF(AK46=Исходные!$C$9,$D$18*5/14,IF(AK46=Исходные!$C$9+1,$D$18*10/14,IF(AK48=1,$D$18*EXP(-$D$19*AK49),$D$18))))</f>
        <v>3.80712628937439</v>
      </c>
      <c r="AL50" s="15" t="n">
        <f aca="false">IF(AL46&lt;Исходные!$C$9,0,IF(AL46=Исходные!$C$9,$D$18*5/14,IF(AL46=Исходные!$C$9+1,$D$18*10/14,IF(AL48=1,$D$18*EXP(-$D$19*AL49),$D$18))))</f>
        <v>3.54352732233234</v>
      </c>
      <c r="AM50" s="15" t="n">
        <f aca="false">IF(AM46&lt;Исходные!$C$9,0,IF(AM46=Исходные!$C$9,$D$18*5/14,IF(AM46=Исходные!$C$9+1,$D$18*10/14,IF(AM48=1,$D$18*EXP(-$D$19*AM49),$D$18))))</f>
        <v>3.29817950068033</v>
      </c>
      <c r="AN50" s="15" t="n">
        <f aca="false">IF(AN46&lt;Исходные!$C$9,0,IF(AN46=Исходные!$C$9,$D$18*5/14,IF(AN46=Исходные!$C$9+1,$D$18*10/14,IF(AN48=1,$D$18*EXP(-$D$19*AN49),$D$18))))</f>
        <v>3.06981914606718</v>
      </c>
      <c r="AO50" s="15" t="n">
        <f aca="false">IF(AO46&lt;Исходные!$C$9,0,IF(AO46=Исходные!$C$9,$D$18*5/14,IF(AO46=Исходные!$C$9+1,$D$18*10/14,IF(AO48=1,$D$18*EXP(-$D$19*AO49),$D$18))))</f>
        <v>2.85727007508739</v>
      </c>
      <c r="AP50" s="15" t="n">
        <f aca="false">IF(AP46&lt;Исходные!$C$9,0,IF(AP46=Исходные!$C$9,$D$18*5/14,IF(AP46=Исходные!$C$9+1,$D$18*10/14,IF(AP48=1,$D$18*EXP(-$D$19*AP49),$D$18))))</f>
        <v>2.6594375412796</v>
      </c>
      <c r="AQ50" s="15" t="n">
        <f aca="false">IF(AQ46&lt;Исходные!$C$9,0,IF(AQ46=Исходные!$C$9,$D$18*5/14,IF(AQ46=Исходные!$C$9+1,$D$18*10/14,IF(AQ48=1,$D$18*EXP(-$D$19*AQ49),$D$18))))</f>
        <v>2.47530259657059</v>
      </c>
      <c r="AR50" s="15" t="n">
        <f aca="false">IF(AR46&lt;Исходные!$C$9,0,IF(AR46=Исходные!$C$9,$D$18*5/14,IF(AR46=Исходные!$C$9+1,$D$18*10/14,IF(AR48=1,$D$18*EXP(-$D$19*AR49),$D$18))))</f>
        <v>2.30391684312354</v>
      </c>
    </row>
    <row r="51" customFormat="false" ht="15" hidden="false" customHeight="false" outlineLevel="0" collapsed="false">
      <c r="B51" s="8" t="s">
        <v>356</v>
      </c>
      <c r="C51" s="8" t="s">
        <v>57</v>
      </c>
      <c r="E51" s="15" t="n">
        <f aca="false">E50</f>
        <v>0</v>
      </c>
      <c r="F51" s="15" t="n">
        <f aca="false">E51+F50</f>
        <v>0</v>
      </c>
      <c r="G51" s="15" t="n">
        <f aca="false">F51+G50</f>
        <v>0</v>
      </c>
      <c r="H51" s="15" t="n">
        <f aca="false">G51+H50</f>
        <v>0</v>
      </c>
      <c r="I51" s="15" t="n">
        <f aca="false">H51+I50</f>
        <v>4.28571428571429</v>
      </c>
      <c r="J51" s="15" t="n">
        <f aca="false">I51+J50</f>
        <v>12.8571428571429</v>
      </c>
      <c r="K51" s="15" t="n">
        <f aca="false">J51+K50</f>
        <v>24.8571428571429</v>
      </c>
      <c r="L51" s="15" t="n">
        <f aca="false">K51+L50</f>
        <v>36.8571428571429</v>
      </c>
      <c r="M51" s="15" t="n">
        <f aca="false">L51+M50</f>
        <v>48.8571428571429</v>
      </c>
      <c r="N51" s="15" t="n">
        <f aca="false">M51+N50</f>
        <v>60.8571428571429</v>
      </c>
      <c r="O51" s="15" t="n">
        <f aca="false">N51+O50</f>
        <v>72.8571428571429</v>
      </c>
      <c r="P51" s="15" t="n">
        <f aca="false">O51+P50</f>
        <v>84.8571428571429</v>
      </c>
      <c r="Q51" s="15" t="n">
        <f aca="false">P51+Q50</f>
        <v>96.8571428571429</v>
      </c>
      <c r="R51" s="15" t="n">
        <f aca="false">Q51+R50</f>
        <v>108.857142857143</v>
      </c>
      <c r="S51" s="15" t="n">
        <f aca="false">R51+S50</f>
        <v>120.857142857143</v>
      </c>
      <c r="T51" s="15" t="n">
        <f aca="false">S51+T50</f>
        <v>132.857142857143</v>
      </c>
      <c r="U51" s="15" t="n">
        <f aca="false">T51+U50</f>
        <v>144.857142857143</v>
      </c>
      <c r="V51" s="15" t="n">
        <f aca="false">U51+V50</f>
        <v>156.02628321024</v>
      </c>
      <c r="W51" s="15" t="n">
        <f aca="false">V51+W50</f>
        <v>166.422091229172</v>
      </c>
      <c r="X51" s="15" t="n">
        <f aca="false">W51+X50</f>
        <v>176.098111133113</v>
      </c>
      <c r="Y51" s="15" t="n">
        <f aca="false">X51+Y50</f>
        <v>185.10417983032</v>
      </c>
      <c r="Z51" s="15" t="n">
        <f aca="false">Y51+Z50</f>
        <v>193.486683606049</v>
      </c>
      <c r="AA51" s="15" t="n">
        <f aca="false">Z51+AA50</f>
        <v>201.288797037838</v>
      </c>
      <c r="AB51" s="15" t="n">
        <f aca="false">AA51+AB50</f>
        <v>208.550705368708</v>
      </c>
      <c r="AC51" s="15" t="n">
        <f aca="false">AB51+AC50</f>
        <v>215.309811483609</v>
      </c>
      <c r="AD51" s="15" t="n">
        <f aca="false">AC51+AD50</f>
        <v>221.600928555176</v>
      </c>
      <c r="AE51" s="15" t="n">
        <f aca="false">AD51+AE50</f>
        <v>227.456459351018</v>
      </c>
      <c r="AF51" s="15" t="n">
        <f aca="false">AE51+AF50</f>
        <v>232.906563126071</v>
      </c>
      <c r="AG51" s="15" t="n">
        <f aca="false">AF51+AG50</f>
        <v>237.979310959614</v>
      </c>
      <c r="AH51" s="15" t="n">
        <f aca="false">AG51+AH50</f>
        <v>242.700830337006</v>
      </c>
      <c r="AI51" s="15" t="n">
        <f aca="false">AH51+AI50</f>
        <v>247.095439720836</v>
      </c>
      <c r="AJ51" s="15" t="n">
        <f aca="false">AI51+AJ50</f>
        <v>251.185773804589</v>
      </c>
      <c r="AK51" s="15" t="n">
        <f aca="false">AJ51+AK50</f>
        <v>254.992900093963</v>
      </c>
      <c r="AL51" s="15" t="n">
        <f aca="false">AK51+AL50</f>
        <v>258.536427416295</v>
      </c>
      <c r="AM51" s="15" t="n">
        <f aca="false">AL51+AM50</f>
        <v>261.834606916976</v>
      </c>
      <c r="AN51" s="15" t="n">
        <f aca="false">AM51+AN50</f>
        <v>264.904426063043</v>
      </c>
      <c r="AO51" s="15" t="n">
        <f aca="false">AN51+AO50</f>
        <v>267.76169613813</v>
      </c>
      <c r="AP51" s="15" t="n">
        <f aca="false">AO51+AP50</f>
        <v>270.42113367941</v>
      </c>
      <c r="AQ51" s="15" t="n">
        <f aca="false">AP51+AQ50</f>
        <v>272.896436275981</v>
      </c>
      <c r="AR51" s="15" t="n">
        <f aca="false">AQ51+AR50</f>
        <v>275.200353119104</v>
      </c>
    </row>
    <row r="52" customFormat="false" ht="15" hidden="false" customHeight="false" outlineLevel="0" collapsed="false">
      <c r="B52" s="3" t="s">
        <v>357</v>
      </c>
      <c r="C52" s="8" t="s">
        <v>57</v>
      </c>
      <c r="D52" s="15" t="n">
        <f aca="false">SUM(E52:AR52)</f>
        <v>275.200353119104</v>
      </c>
      <c r="E52" s="15" t="n">
        <f aca="false">E50*$D$29</f>
        <v>0</v>
      </c>
      <c r="F52" s="15" t="n">
        <f aca="false">F50*$D$29</f>
        <v>0</v>
      </c>
      <c r="G52" s="15" t="n">
        <f aca="false">G50*$D$29</f>
        <v>0</v>
      </c>
      <c r="H52" s="15" t="n">
        <f aca="false">H50*$D$29</f>
        <v>0</v>
      </c>
      <c r="I52" s="15" t="n">
        <f aca="false">I50*$D$29</f>
        <v>4.28571428571429</v>
      </c>
      <c r="J52" s="15" t="n">
        <f aca="false">J50*$D$29</f>
        <v>8.57142857142857</v>
      </c>
      <c r="K52" s="15" t="n">
        <f aca="false">K50*$D$29</f>
        <v>12</v>
      </c>
      <c r="L52" s="15" t="n">
        <f aca="false">L50*$D$29</f>
        <v>12</v>
      </c>
      <c r="M52" s="15" t="n">
        <f aca="false">M50*$D$29</f>
        <v>12</v>
      </c>
      <c r="N52" s="15" t="n">
        <f aca="false">N50*$D$29</f>
        <v>12</v>
      </c>
      <c r="O52" s="15" t="n">
        <f aca="false">O50*$D$29</f>
        <v>12</v>
      </c>
      <c r="P52" s="15" t="n">
        <f aca="false">P50*$D$29</f>
        <v>12</v>
      </c>
      <c r="Q52" s="15" t="n">
        <f aca="false">Q50*$D$29</f>
        <v>12</v>
      </c>
      <c r="R52" s="15" t="n">
        <f aca="false">R50*$D$29</f>
        <v>12</v>
      </c>
      <c r="S52" s="15" t="n">
        <f aca="false">S50*$D$29</f>
        <v>12</v>
      </c>
      <c r="T52" s="15" t="n">
        <f aca="false">T50*$D$29</f>
        <v>12</v>
      </c>
      <c r="U52" s="15" t="n">
        <f aca="false">U50*$D$29</f>
        <v>12</v>
      </c>
      <c r="V52" s="15" t="n">
        <f aca="false">V50*$D$29</f>
        <v>11.169140353097</v>
      </c>
      <c r="W52" s="15" t="n">
        <f aca="false">W50*$D$29</f>
        <v>10.3958080189317</v>
      </c>
      <c r="X52" s="15" t="n">
        <f aca="false">X50*$D$29</f>
        <v>9.67601990394164</v>
      </c>
      <c r="Y52" s="15" t="n">
        <f aca="false">Y50*$D$29</f>
        <v>9.00606869720704</v>
      </c>
      <c r="Z52" s="15" t="n">
        <f aca="false">Z50*$D$29</f>
        <v>8.38250377572826</v>
      </c>
      <c r="AA52" s="15" t="n">
        <f aca="false">AA50*$D$29</f>
        <v>7.80211343178956</v>
      </c>
      <c r="AB52" s="15" t="n">
        <f aca="false">AB50*$D$29</f>
        <v>7.26190833087009</v>
      </c>
      <c r="AC52" s="15" t="n">
        <f aca="false">AC50*$D$29</f>
        <v>6.75910611490105</v>
      </c>
      <c r="AD52" s="15" t="n">
        <f aca="false">AD50*$D$29</f>
        <v>6.29111707156718</v>
      </c>
      <c r="AE52" s="15" t="n">
        <f aca="false">AE50*$D$29</f>
        <v>5.85553079584155</v>
      </c>
      <c r="AF52" s="15" t="n">
        <f aca="false">AF50*$D$29</f>
        <v>5.45010377505301</v>
      </c>
      <c r="AG52" s="15" t="n">
        <f aca="false">AG50*$D$29</f>
        <v>5.07274783354259</v>
      </c>
      <c r="AH52" s="15" t="n">
        <f aca="false">AH50*$D$29</f>
        <v>4.72151937739217</v>
      </c>
      <c r="AI52" s="15" t="n">
        <f aca="false">AI50*$D$29</f>
        <v>4.39460938383003</v>
      </c>
      <c r="AJ52" s="15" t="n">
        <f aca="false">AJ50*$D$29</f>
        <v>4.09033408375291</v>
      </c>
      <c r="AK52" s="15" t="n">
        <f aca="false">AK50*$D$29</f>
        <v>3.80712628937439</v>
      </c>
      <c r="AL52" s="15" t="n">
        <f aca="false">AL50*$D$29</f>
        <v>3.54352732233234</v>
      </c>
      <c r="AM52" s="15" t="n">
        <f aca="false">AM50*$D$29</f>
        <v>3.29817950068033</v>
      </c>
      <c r="AN52" s="15" t="n">
        <f aca="false">AN50*$D$29</f>
        <v>3.06981914606718</v>
      </c>
      <c r="AO52" s="15" t="n">
        <f aca="false">AO50*$D$29</f>
        <v>2.85727007508739</v>
      </c>
      <c r="AP52" s="15" t="n">
        <f aca="false">AP50*$D$29</f>
        <v>2.6594375412796</v>
      </c>
      <c r="AQ52" s="15" t="n">
        <f aca="false">AQ50*$D$29</f>
        <v>2.47530259657059</v>
      </c>
      <c r="AR52" s="15" t="n">
        <f aca="false">AR50*$D$29</f>
        <v>2.30391684312354</v>
      </c>
    </row>
    <row r="53" customFormat="false" ht="15" hidden="false" customHeight="false" outlineLevel="0" collapsed="false">
      <c r="B53" s="8" t="s">
        <v>358</v>
      </c>
      <c r="C53" s="8" t="s">
        <v>57</v>
      </c>
      <c r="E53" s="15" t="n">
        <f aca="false">E52</f>
        <v>0</v>
      </c>
      <c r="F53" s="15" t="n">
        <f aca="false">E53+F52</f>
        <v>0</v>
      </c>
      <c r="G53" s="15" t="n">
        <f aca="false">F53+G52</f>
        <v>0</v>
      </c>
      <c r="H53" s="15" t="n">
        <f aca="false">G53+H52</f>
        <v>0</v>
      </c>
      <c r="I53" s="15" t="n">
        <f aca="false">H53+I52</f>
        <v>4.28571428571429</v>
      </c>
      <c r="J53" s="15" t="n">
        <f aca="false">I53+J52</f>
        <v>12.8571428571429</v>
      </c>
      <c r="K53" s="15" t="n">
        <f aca="false">J53+K52</f>
        <v>24.8571428571429</v>
      </c>
      <c r="L53" s="15" t="n">
        <f aca="false">K53+L52</f>
        <v>36.8571428571429</v>
      </c>
      <c r="M53" s="15" t="n">
        <f aca="false">L53+M52</f>
        <v>48.8571428571429</v>
      </c>
      <c r="N53" s="15" t="n">
        <f aca="false">M53+N52</f>
        <v>60.8571428571429</v>
      </c>
      <c r="O53" s="15" t="n">
        <f aca="false">N53+O52</f>
        <v>72.8571428571429</v>
      </c>
      <c r="P53" s="15" t="n">
        <f aca="false">O53+P52</f>
        <v>84.8571428571429</v>
      </c>
      <c r="Q53" s="15" t="n">
        <f aca="false">P53+Q52</f>
        <v>96.8571428571429</v>
      </c>
      <c r="R53" s="15" t="n">
        <f aca="false">Q53+R52</f>
        <v>108.857142857143</v>
      </c>
      <c r="S53" s="15" t="n">
        <f aca="false">R53+S52</f>
        <v>120.857142857143</v>
      </c>
      <c r="T53" s="15" t="n">
        <f aca="false">S53+T52</f>
        <v>132.857142857143</v>
      </c>
      <c r="U53" s="15" t="n">
        <f aca="false">T53+U52</f>
        <v>144.857142857143</v>
      </c>
      <c r="V53" s="15" t="n">
        <f aca="false">U53+V52</f>
        <v>156.02628321024</v>
      </c>
      <c r="W53" s="15" t="n">
        <f aca="false">V53+W52</f>
        <v>166.422091229172</v>
      </c>
      <c r="X53" s="15" t="n">
        <f aca="false">W53+X52</f>
        <v>176.098111133113</v>
      </c>
      <c r="Y53" s="15" t="n">
        <f aca="false">X53+Y52</f>
        <v>185.10417983032</v>
      </c>
      <c r="Z53" s="15" t="n">
        <f aca="false">Y53+Z52</f>
        <v>193.486683606049</v>
      </c>
      <c r="AA53" s="15" t="n">
        <f aca="false">Z53+AA52</f>
        <v>201.288797037838</v>
      </c>
      <c r="AB53" s="15" t="n">
        <f aca="false">AA53+AB52</f>
        <v>208.550705368708</v>
      </c>
      <c r="AC53" s="15" t="n">
        <f aca="false">AB53+AC52</f>
        <v>215.309811483609</v>
      </c>
      <c r="AD53" s="15" t="n">
        <f aca="false">AC53+AD52</f>
        <v>221.600928555176</v>
      </c>
      <c r="AE53" s="15" t="n">
        <f aca="false">AD53+AE52</f>
        <v>227.456459351018</v>
      </c>
      <c r="AF53" s="15" t="n">
        <f aca="false">AE53+AF52</f>
        <v>232.906563126071</v>
      </c>
      <c r="AG53" s="15" t="n">
        <f aca="false">AF53+AG52</f>
        <v>237.979310959614</v>
      </c>
      <c r="AH53" s="15" t="n">
        <f aca="false">AG53+AH52</f>
        <v>242.700830337006</v>
      </c>
      <c r="AI53" s="15" t="n">
        <f aca="false">AH53+AI52</f>
        <v>247.095439720836</v>
      </c>
      <c r="AJ53" s="15" t="n">
        <f aca="false">AI53+AJ52</f>
        <v>251.185773804589</v>
      </c>
      <c r="AK53" s="15" t="n">
        <f aca="false">AJ53+AK52</f>
        <v>254.992900093963</v>
      </c>
      <c r="AL53" s="15" t="n">
        <f aca="false">AK53+AL52</f>
        <v>258.536427416295</v>
      </c>
      <c r="AM53" s="15" t="n">
        <f aca="false">AL53+AM52</f>
        <v>261.834606916976</v>
      </c>
      <c r="AN53" s="15" t="n">
        <f aca="false">AM53+AN52</f>
        <v>264.904426063043</v>
      </c>
      <c r="AO53" s="15" t="n">
        <f aca="false">AN53+AO52</f>
        <v>267.76169613813</v>
      </c>
      <c r="AP53" s="15" t="n">
        <f aca="false">AO53+AP52</f>
        <v>270.42113367941</v>
      </c>
      <c r="AQ53" s="15" t="n">
        <f aca="false">AP53+AQ52</f>
        <v>272.896436275981</v>
      </c>
      <c r="AR53" s="15" t="n">
        <f aca="false">AQ53+AR52</f>
        <v>275.200353119104</v>
      </c>
    </row>
    <row r="54" customFormat="false" ht="15" hidden="false" customHeight="false" outlineLevel="0" collapsed="false">
      <c r="B54" s="8" t="s">
        <v>359</v>
      </c>
      <c r="C54" s="8" t="s">
        <v>264</v>
      </c>
      <c r="E54" s="40" t="n">
        <f aca="false">IF(E53/Исходные!$C$6&gt;Исходные!$C$29,1,0)</f>
        <v>0</v>
      </c>
      <c r="F54" s="40" t="n">
        <f aca="false">IF(OR(E54=1,F53/Исходные!$C$6&gt;Исходные!$C$29),1,0)</f>
        <v>0</v>
      </c>
      <c r="G54" s="40" t="n">
        <f aca="false">IF(OR(F54=1,G53/Исходные!$C$6&gt;Исходные!$C$29),1,0)</f>
        <v>0</v>
      </c>
      <c r="H54" s="40" t="n">
        <f aca="false">IF(OR(G54=1,H53/Исходные!$C$6&gt;Исходные!$C$29),1,0)</f>
        <v>0</v>
      </c>
      <c r="I54" s="40" t="n">
        <f aca="false">IF(OR(H54=1,I53/Исходные!$C$6&gt;Исходные!$C$29),1,0)</f>
        <v>1</v>
      </c>
      <c r="J54" s="40" t="n">
        <f aca="false">IF(OR(I54=1,J53/Исходные!$C$6&gt;Исходные!$C$29),1,0)</f>
        <v>1</v>
      </c>
      <c r="K54" s="40" t="n">
        <f aca="false">IF(OR(J54=1,K53/Исходные!$C$6&gt;Исходные!$C$29),1,0)</f>
        <v>1</v>
      </c>
      <c r="L54" s="40" t="n">
        <f aca="false">IF(OR(K54=1,L53/Исходные!$C$6&gt;Исходные!$C$29),1,0)</f>
        <v>1</v>
      </c>
      <c r="M54" s="40" t="n">
        <f aca="false">IF(OR(L54=1,M53/Исходные!$C$6&gt;Исходные!$C$29),1,0)</f>
        <v>1</v>
      </c>
      <c r="N54" s="40" t="n">
        <f aca="false">IF(OR(M54=1,N53/Исходные!$C$6&gt;Исходные!$C$29),1,0)</f>
        <v>1</v>
      </c>
      <c r="O54" s="40" t="n">
        <f aca="false">IF(OR(N54=1,O53/Исходные!$C$6&gt;Исходные!$C$29),1,0)</f>
        <v>1</v>
      </c>
      <c r="P54" s="40" t="n">
        <f aca="false">IF(OR(O54=1,P53/Исходные!$C$6&gt;Исходные!$C$29),1,0)</f>
        <v>1</v>
      </c>
      <c r="Q54" s="40" t="n">
        <f aca="false">IF(OR(P54=1,Q53/Исходные!$C$6&gt;Исходные!$C$29),1,0)</f>
        <v>1</v>
      </c>
      <c r="R54" s="40" t="n">
        <f aca="false">IF(OR(Q54=1,R53/Исходные!$C$6&gt;Исходные!$C$29),1,0)</f>
        <v>1</v>
      </c>
      <c r="S54" s="40" t="n">
        <f aca="false">IF(OR(R54=1,S53/Исходные!$C$6&gt;Исходные!$C$29),1,0)</f>
        <v>1</v>
      </c>
      <c r="T54" s="40" t="n">
        <f aca="false">IF(OR(S54=1,T53/Исходные!$C$6&gt;Исходные!$C$29),1,0)</f>
        <v>1</v>
      </c>
      <c r="U54" s="40" t="n">
        <f aca="false">IF(OR(T54=1,U53/Исходные!$C$6&gt;Исходные!$C$29),1,0)</f>
        <v>1</v>
      </c>
      <c r="V54" s="40" t="n">
        <f aca="false">IF(OR(U54=1,V53/Исходные!$C$6&gt;Исходные!$C$29),1,0)</f>
        <v>1</v>
      </c>
      <c r="W54" s="40" t="n">
        <f aca="false">IF(OR(V54=1,W53/Исходные!$C$6&gt;Исходные!$C$29),1,0)</f>
        <v>1</v>
      </c>
      <c r="X54" s="40" t="n">
        <f aca="false">IF(OR(W54=1,X53/Исходные!$C$6&gt;Исходные!$C$29),1,0)</f>
        <v>1</v>
      </c>
      <c r="Y54" s="40" t="n">
        <f aca="false">IF(OR(X54=1,Y53/Исходные!$C$6&gt;Исходные!$C$29),1,0)</f>
        <v>1</v>
      </c>
      <c r="Z54" s="40" t="n">
        <f aca="false">IF(OR(Y54=1,Z53/Исходные!$C$6&gt;Исходные!$C$29),1,0)</f>
        <v>1</v>
      </c>
      <c r="AA54" s="40" t="n">
        <f aca="false">IF(OR(Z54=1,AA53/Исходные!$C$6&gt;Исходные!$C$29),1,0)</f>
        <v>1</v>
      </c>
      <c r="AB54" s="40" t="n">
        <f aca="false">IF(OR(AA54=1,AB53/Исходные!$C$6&gt;Исходные!$C$29),1,0)</f>
        <v>1</v>
      </c>
      <c r="AC54" s="40" t="n">
        <f aca="false">IF(OR(AB54=1,AC53/Исходные!$C$6&gt;Исходные!$C$29),1,0)</f>
        <v>1</v>
      </c>
      <c r="AD54" s="40" t="n">
        <f aca="false">IF(OR(AC54=1,AD53/Исходные!$C$6&gt;Исходные!$C$29),1,0)</f>
        <v>1</v>
      </c>
      <c r="AE54" s="40" t="n">
        <f aca="false">IF(OR(AD54=1,AE53/Исходные!$C$6&gt;Исходные!$C$29),1,0)</f>
        <v>1</v>
      </c>
      <c r="AF54" s="40" t="n">
        <f aca="false">IF(OR(AE54=1,AF53/Исходные!$C$6&gt;Исходные!$C$29),1,0)</f>
        <v>1</v>
      </c>
      <c r="AG54" s="40" t="n">
        <f aca="false">IF(OR(AF54=1,AG53/Исходные!$C$6&gt;Исходные!$C$29),1,0)</f>
        <v>1</v>
      </c>
      <c r="AH54" s="40" t="n">
        <f aca="false">IF(OR(AG54=1,AH53/Исходные!$C$6&gt;Исходные!$C$29),1,0)</f>
        <v>1</v>
      </c>
      <c r="AI54" s="40" t="n">
        <f aca="false">IF(OR(AH54=1,AI53/Исходные!$C$6&gt;Исходные!$C$29),1,0)</f>
        <v>1</v>
      </c>
      <c r="AJ54" s="40" t="n">
        <f aca="false">IF(OR(AI54=1,AJ53/Исходные!$C$6&gt;Исходные!$C$29),1,0)</f>
        <v>1</v>
      </c>
      <c r="AK54" s="40" t="n">
        <f aca="false">IF(OR(AJ54=1,AK53/Исходные!$C$6&gt;Исходные!$C$29),1,0)</f>
        <v>1</v>
      </c>
      <c r="AL54" s="40" t="n">
        <f aca="false">IF(OR(AK54=1,AL53/Исходные!$C$6&gt;Исходные!$C$29),1,0)</f>
        <v>1</v>
      </c>
      <c r="AM54" s="40" t="n">
        <f aca="false">IF(OR(AL54=1,AM53/Исходные!$C$6&gt;Исходные!$C$29),1,0)</f>
        <v>1</v>
      </c>
      <c r="AN54" s="40" t="n">
        <f aca="false">IF(OR(AM54=1,AN53/Исходные!$C$6&gt;Исходные!$C$29),1,0)</f>
        <v>1</v>
      </c>
      <c r="AO54" s="40" t="n">
        <f aca="false">IF(OR(AN54=1,AO53/Исходные!$C$6&gt;Исходные!$C$29),1,0)</f>
        <v>1</v>
      </c>
      <c r="AP54" s="40" t="n">
        <f aca="false">IF(OR(AO54=1,AP53/Исходные!$C$6&gt;Исходные!$C$29),1,0)</f>
        <v>1</v>
      </c>
      <c r="AQ54" s="40" t="n">
        <f aca="false">IF(OR(AP54=1,AQ53/Исходные!$C$6&gt;Исходные!$C$29),1,0)</f>
        <v>1</v>
      </c>
      <c r="AR54" s="40" t="n">
        <f aca="false">IF(OR(AQ54=1,AR53/Исходные!$C$6&gt;Исходные!$C$29),1,0)</f>
        <v>1</v>
      </c>
    </row>
    <row r="55" customFormat="false" ht="15" hidden="false" customHeight="false" outlineLevel="0" collapsed="false">
      <c r="B55" s="8" t="s">
        <v>360</v>
      </c>
      <c r="C55" s="8"/>
      <c r="E55" s="40" t="n">
        <f aca="false">1</f>
        <v>1</v>
      </c>
      <c r="F55" s="40" t="n">
        <f aca="false">IF(F54=1,IF(E54=1,E55+1,1),1)</f>
        <v>1</v>
      </c>
      <c r="G55" s="40" t="n">
        <f aca="false">IF(G54=1,IF(F54=1,F55+1,1),1)</f>
        <v>1</v>
      </c>
      <c r="H55" s="40" t="n">
        <f aca="false">IF(H54=1,IF(G54=1,G55+1,1),1)</f>
        <v>1</v>
      </c>
      <c r="I55" s="40" t="n">
        <f aca="false">IF(I54=1,IF(H54=1,H55+1,1),1)</f>
        <v>1</v>
      </c>
      <c r="J55" s="40" t="n">
        <f aca="false">IF(J54=1,IF(I54=1,I55+1,1),1)</f>
        <v>2</v>
      </c>
      <c r="K55" s="40" t="n">
        <f aca="false">IF(K54=1,IF(J54=1,J55+1,1),1)</f>
        <v>3</v>
      </c>
      <c r="L55" s="40" t="n">
        <f aca="false">IF(L54=1,IF(K54=1,K55+1,1),1)</f>
        <v>4</v>
      </c>
      <c r="M55" s="40" t="n">
        <f aca="false">IF(M54=1,IF(L54=1,L55+1,1),1)</f>
        <v>5</v>
      </c>
      <c r="N55" s="40" t="n">
        <f aca="false">IF(N54=1,IF(M54=1,M55+1,1),1)</f>
        <v>6</v>
      </c>
      <c r="O55" s="40" t="n">
        <f aca="false">IF(O54=1,IF(N54=1,N55+1,1),1)</f>
        <v>7</v>
      </c>
      <c r="P55" s="40" t="n">
        <f aca="false">IF(P54=1,IF(O54=1,O55+1,1),1)</f>
        <v>8</v>
      </c>
      <c r="Q55" s="40" t="n">
        <f aca="false">IF(Q54=1,IF(P54=1,P55+1,1),1)</f>
        <v>9</v>
      </c>
      <c r="R55" s="40" t="n">
        <f aca="false">IF(R54=1,IF(Q54=1,Q55+1,1),1)</f>
        <v>10</v>
      </c>
      <c r="S55" s="40" t="n">
        <f aca="false">IF(S54=1,IF(R54=1,R55+1,1),1)</f>
        <v>11</v>
      </c>
      <c r="T55" s="40" t="n">
        <f aca="false">IF(T54=1,IF(S54=1,S55+1,1),1)</f>
        <v>12</v>
      </c>
      <c r="U55" s="40" t="n">
        <f aca="false">IF(U54=1,IF(T54=1,T55+1,1),1)</f>
        <v>13</v>
      </c>
      <c r="V55" s="40" t="n">
        <f aca="false">IF(V54=1,IF(U54=1,U55+1,1),1)</f>
        <v>14</v>
      </c>
      <c r="W55" s="40" t="n">
        <f aca="false">IF(W54=1,IF(V54=1,V55+1,1),1)</f>
        <v>15</v>
      </c>
      <c r="X55" s="40" t="n">
        <f aca="false">IF(X54=1,IF(W54=1,W55+1,1),1)</f>
        <v>16</v>
      </c>
      <c r="Y55" s="40" t="n">
        <f aca="false">IF(Y54=1,IF(X54=1,X55+1,1),1)</f>
        <v>17</v>
      </c>
      <c r="Z55" s="40" t="n">
        <f aca="false">IF(Z54=1,IF(Y54=1,Y55+1,1),1)</f>
        <v>18</v>
      </c>
      <c r="AA55" s="40" t="n">
        <f aca="false">IF(AA54=1,IF(Z54=1,Z55+1,1),1)</f>
        <v>19</v>
      </c>
      <c r="AB55" s="40" t="n">
        <f aca="false">IF(AB54=1,IF(AA54=1,AA55+1,1),1)</f>
        <v>20</v>
      </c>
      <c r="AC55" s="40" t="n">
        <f aca="false">IF(AC54=1,IF(AB54=1,AB55+1,1),1)</f>
        <v>21</v>
      </c>
      <c r="AD55" s="40" t="n">
        <f aca="false">IF(AD54=1,IF(AC54=1,AC55+1,1),1)</f>
        <v>22</v>
      </c>
      <c r="AE55" s="40" t="n">
        <f aca="false">IF(AE54=1,IF(AD54=1,AD55+1,1),1)</f>
        <v>23</v>
      </c>
      <c r="AF55" s="40" t="n">
        <f aca="false">IF(AF54=1,IF(AE54=1,AE55+1,1),1)</f>
        <v>24</v>
      </c>
      <c r="AG55" s="40" t="n">
        <f aca="false">IF(AG54=1,IF(AF54=1,AF55+1,1),1)</f>
        <v>25</v>
      </c>
      <c r="AH55" s="40" t="n">
        <f aca="false">IF(AH54=1,IF(AG54=1,AG55+1,1),1)</f>
        <v>26</v>
      </c>
      <c r="AI55" s="40" t="n">
        <f aca="false">IF(AI54=1,IF(AH54=1,AH55+1,1),1)</f>
        <v>27</v>
      </c>
      <c r="AJ55" s="40" t="n">
        <f aca="false">IF(AJ54=1,IF(AI54=1,AI55+1,1),1)</f>
        <v>28</v>
      </c>
      <c r="AK55" s="40" t="n">
        <f aca="false">IF(AK54=1,IF(AJ54=1,AJ55+1,1),1)</f>
        <v>29</v>
      </c>
      <c r="AL55" s="40" t="n">
        <f aca="false">IF(AL54=1,IF(AK54=1,AK55+1,1),1)</f>
        <v>30</v>
      </c>
      <c r="AM55" s="40" t="n">
        <f aca="false">IF(AM54=1,IF(AL54=1,AL55+1,1),1)</f>
        <v>31</v>
      </c>
      <c r="AN55" s="40" t="n">
        <f aca="false">IF(AN54=1,IF(AM54=1,AM55+1,1),1)</f>
        <v>32</v>
      </c>
      <c r="AO55" s="40" t="n">
        <f aca="false">IF(AO54=1,IF(AN54=1,AN55+1,1),1)</f>
        <v>33</v>
      </c>
      <c r="AP55" s="40" t="n">
        <f aca="false">IF(AP54=1,IF(AO54=1,AO55+1,1),1)</f>
        <v>34</v>
      </c>
      <c r="AQ55" s="40" t="n">
        <f aca="false">IF(AQ54=1,IF(AP54=1,AP55+1,1),1)</f>
        <v>35</v>
      </c>
      <c r="AR55" s="40" t="n">
        <f aca="false">IF(AR54=1,IF(AQ54=1,AQ55+1,1),1)</f>
        <v>36</v>
      </c>
    </row>
    <row r="56" customFormat="false" ht="15" hidden="false" customHeight="false" outlineLevel="0" collapsed="false">
      <c r="B56" s="8" t="s">
        <v>361</v>
      </c>
      <c r="C56" s="8"/>
      <c r="E56" s="54" t="n">
        <f aca="false">IF($D$22=0,1,IF(E55&gt;Исходные!$C$28,1,MIN(1,Исходные!$C$26*E55+Исходные!$C$27)))</f>
        <v>1</v>
      </c>
      <c r="F56" s="54" t="n">
        <f aca="false">IF($D$22=0,1,IF(F55&gt;Исходные!$C$28,1,MIN(1,Исходные!$C$26*F55+Исходные!$C$27)))</f>
        <v>1</v>
      </c>
      <c r="G56" s="54" t="n">
        <f aca="false">IF($D$22=0,1,IF(G55&gt;Исходные!$C$28,1,MIN(1,Исходные!$C$26*G55+Исходные!$C$27)))</f>
        <v>1</v>
      </c>
      <c r="H56" s="54" t="n">
        <f aca="false">IF($D$22=0,1,IF(H55&gt;Исходные!$C$28,1,MIN(1,Исходные!$C$26*H55+Исходные!$C$27)))</f>
        <v>1</v>
      </c>
      <c r="I56" s="54" t="n">
        <f aca="false">IF($D$22=0,1,IF(I55&gt;Исходные!$C$28,1,MIN(1,Исходные!$C$26*I55+Исходные!$C$27)))</f>
        <v>1</v>
      </c>
      <c r="J56" s="54" t="n">
        <f aca="false">IF($D$22=0,1,IF(J55&gt;Исходные!$C$28,1,MIN(1,Исходные!$C$26*J55+Исходные!$C$27)))</f>
        <v>1</v>
      </c>
      <c r="K56" s="54" t="n">
        <f aca="false">IF($D$22=0,1,IF(K55&gt;Исходные!$C$28,1,MIN(1,Исходные!$C$26*K55+Исходные!$C$27)))</f>
        <v>1</v>
      </c>
      <c r="L56" s="54" t="n">
        <f aca="false">IF($D$22=0,1,IF(L55&gt;Исходные!$C$28,1,MIN(1,Исходные!$C$26*L55+Исходные!$C$27)))</f>
        <v>1</v>
      </c>
      <c r="M56" s="54" t="n">
        <f aca="false">IF($D$22=0,1,IF(M55&gt;Исходные!$C$28,1,MIN(1,Исходные!$C$26*M55+Исходные!$C$27)))</f>
        <v>1</v>
      </c>
      <c r="N56" s="54" t="n">
        <f aca="false">IF($D$22=0,1,IF(N55&gt;Исходные!$C$28,1,MIN(1,Исходные!$C$26*N55+Исходные!$C$27)))</f>
        <v>1</v>
      </c>
      <c r="O56" s="54" t="n">
        <f aca="false">IF($D$22=0,1,IF(O55&gt;Исходные!$C$28,1,MIN(1,Исходные!$C$26*O55+Исходные!$C$27)))</f>
        <v>1</v>
      </c>
      <c r="P56" s="54" t="n">
        <f aca="false">IF($D$22=0,1,IF(P55&gt;Исходные!$C$28,1,MIN(1,Исходные!$C$26*P55+Исходные!$C$27)))</f>
        <v>1</v>
      </c>
      <c r="Q56" s="54" t="n">
        <f aca="false">IF($D$22=0,1,IF(Q55&gt;Исходные!$C$28,1,MIN(1,Исходные!$C$26*Q55+Исходные!$C$27)))</f>
        <v>1</v>
      </c>
      <c r="R56" s="54" t="n">
        <f aca="false">IF($D$22=0,1,IF(R55&gt;Исходные!$C$28,1,MIN(1,Исходные!$C$26*R55+Исходные!$C$27)))</f>
        <v>1</v>
      </c>
      <c r="S56" s="54" t="n">
        <f aca="false">IF($D$22=0,1,IF(S55&gt;Исходные!$C$28,1,MIN(1,Исходные!$C$26*S55+Исходные!$C$27)))</f>
        <v>1</v>
      </c>
      <c r="T56" s="54" t="n">
        <f aca="false">IF($D$22=0,1,IF(T55&gt;Исходные!$C$28,1,MIN(1,Исходные!$C$26*T55+Исходные!$C$27)))</f>
        <v>1</v>
      </c>
      <c r="U56" s="54" t="n">
        <f aca="false">IF($D$22=0,1,IF(U55&gt;Исходные!$C$28,1,MIN(1,Исходные!$C$26*U55+Исходные!$C$27)))</f>
        <v>1</v>
      </c>
      <c r="V56" s="54" t="n">
        <f aca="false">IF($D$22=0,1,IF(V55&gt;Исходные!$C$28,1,MIN(1,Исходные!$C$26*V55+Исходные!$C$27)))</f>
        <v>1</v>
      </c>
      <c r="W56" s="54" t="n">
        <f aca="false">IF($D$22=0,1,IF(W55&gt;Исходные!$C$28,1,MIN(1,Исходные!$C$26*W55+Исходные!$C$27)))</f>
        <v>1</v>
      </c>
      <c r="X56" s="54" t="n">
        <f aca="false">IF($D$22=0,1,IF(X55&gt;Исходные!$C$28,1,MIN(1,Исходные!$C$26*X55+Исходные!$C$27)))</f>
        <v>1</v>
      </c>
      <c r="Y56" s="54" t="n">
        <f aca="false">IF($D$22=0,1,IF(Y55&gt;Исходные!$C$28,1,MIN(1,Исходные!$C$26*Y55+Исходные!$C$27)))</f>
        <v>1</v>
      </c>
      <c r="Z56" s="54" t="n">
        <f aca="false">IF($D$22=0,1,IF(Z55&gt;Исходные!$C$28,1,MIN(1,Исходные!$C$26*Z55+Исходные!$C$27)))</f>
        <v>1</v>
      </c>
      <c r="AA56" s="54" t="n">
        <f aca="false">IF($D$22=0,1,IF(AA55&gt;Исходные!$C$28,1,MIN(1,Исходные!$C$26*AA55+Исходные!$C$27)))</f>
        <v>1</v>
      </c>
      <c r="AB56" s="54" t="n">
        <f aca="false">IF($D$22=0,1,IF(AB55&gt;Исходные!$C$28,1,MIN(1,Исходные!$C$26*AB55+Исходные!$C$27)))</f>
        <v>1</v>
      </c>
      <c r="AC56" s="54" t="n">
        <f aca="false">IF($D$22=0,1,IF(AC55&gt;Исходные!$C$28,1,MIN(1,Исходные!$C$26*AC55+Исходные!$C$27)))</f>
        <v>1</v>
      </c>
      <c r="AD56" s="54" t="n">
        <f aca="false">IF($D$22=0,1,IF(AD55&gt;Исходные!$C$28,1,MIN(1,Исходные!$C$26*AD55+Исходные!$C$27)))</f>
        <v>1</v>
      </c>
      <c r="AE56" s="54" t="n">
        <f aca="false">IF($D$22=0,1,IF(AE55&gt;Исходные!$C$28,1,MIN(1,Исходные!$C$26*AE55+Исходные!$C$27)))</f>
        <v>1</v>
      </c>
      <c r="AF56" s="54" t="n">
        <f aca="false">IF($D$22=0,1,IF(AF55&gt;Исходные!$C$28,1,MIN(1,Исходные!$C$26*AF55+Исходные!$C$27)))</f>
        <v>1</v>
      </c>
      <c r="AG56" s="54" t="n">
        <f aca="false">IF($D$22=0,1,IF(AG55&gt;Исходные!$C$28,1,MIN(1,Исходные!$C$26*AG55+Исходные!$C$27)))</f>
        <v>1</v>
      </c>
      <c r="AH56" s="54" t="n">
        <f aca="false">IF($D$22=0,1,IF(AH55&gt;Исходные!$C$28,1,MIN(1,Исходные!$C$26*AH55+Исходные!$C$27)))</f>
        <v>1</v>
      </c>
      <c r="AI56" s="54" t="n">
        <f aca="false">IF($D$22=0,1,IF(AI55&gt;Исходные!$C$28,1,MIN(1,Исходные!$C$26*AI55+Исходные!$C$27)))</f>
        <v>1</v>
      </c>
      <c r="AJ56" s="54" t="n">
        <f aca="false">IF($D$22=0,1,IF(AJ55&gt;Исходные!$C$28,1,MIN(1,Исходные!$C$26*AJ55+Исходные!$C$27)))</f>
        <v>1</v>
      </c>
      <c r="AK56" s="54" t="n">
        <f aca="false">IF($D$22=0,1,IF(AK55&gt;Исходные!$C$28,1,MIN(1,Исходные!$C$26*AK55+Исходные!$C$27)))</f>
        <v>1</v>
      </c>
      <c r="AL56" s="54" t="n">
        <f aca="false">IF($D$22=0,1,IF(AL55&gt;Исходные!$C$28,1,MIN(1,Исходные!$C$26*AL55+Исходные!$C$27)))</f>
        <v>1</v>
      </c>
      <c r="AM56" s="54" t="n">
        <f aca="false">IF($D$22=0,1,IF(AM55&gt;Исходные!$C$28,1,MIN(1,Исходные!$C$26*AM55+Исходные!$C$27)))</f>
        <v>1</v>
      </c>
      <c r="AN56" s="54" t="n">
        <f aca="false">IF($D$22=0,1,IF(AN55&gt;Исходные!$C$28,1,MIN(1,Исходные!$C$26*AN55+Исходные!$C$27)))</f>
        <v>1</v>
      </c>
      <c r="AO56" s="54" t="n">
        <f aca="false">IF($D$22=0,1,IF(AO55&gt;Исходные!$C$28,1,MIN(1,Исходные!$C$26*AO55+Исходные!$C$27)))</f>
        <v>1</v>
      </c>
      <c r="AP56" s="54" t="n">
        <f aca="false">IF($D$22=0,1,IF(AP55&gt;Исходные!$C$28,1,MIN(1,Исходные!$C$26*AP55+Исходные!$C$27)))</f>
        <v>1</v>
      </c>
      <c r="AQ56" s="54" t="n">
        <f aca="false">IF($D$22=0,1,IF(AQ55&gt;Исходные!$C$28,1,MIN(1,Исходные!$C$26*AQ55+Исходные!$C$27)))</f>
        <v>1</v>
      </c>
      <c r="AR56" s="54" t="n">
        <f aca="false">IF($D$22=0,1,IF(AR55&gt;Исходные!$C$28,1,MIN(1,Исходные!$C$26*AR55+Исходные!$C$27)))</f>
        <v>1</v>
      </c>
    </row>
    <row r="57" customFormat="false" ht="15" hidden="false" customHeight="false" outlineLevel="0" collapsed="false">
      <c r="B57" s="8" t="s">
        <v>362</v>
      </c>
      <c r="C57" s="8" t="s">
        <v>100</v>
      </c>
      <c r="E57" s="29" t="n">
        <f aca="false">IF(E46&gt;=2038,Исходные!$C$22,Исходные!$C$21)</f>
        <v>0.02</v>
      </c>
      <c r="F57" s="29" t="n">
        <f aca="false">IF(F46&gt;=2038,Исходные!$C$22,Исходные!$C$21)</f>
        <v>0.02</v>
      </c>
      <c r="G57" s="29" t="n">
        <f aca="false">IF(G46&gt;=2038,Исходные!$C$22,Исходные!$C$21)</f>
        <v>0.02</v>
      </c>
      <c r="H57" s="29" t="n">
        <f aca="false">IF(H46&gt;=2038,Исходные!$C$22,Исходные!$C$21)</f>
        <v>0.02</v>
      </c>
      <c r="I57" s="29" t="n">
        <f aca="false">IF(I46&gt;=2038,Исходные!$C$22,Исходные!$C$21)</f>
        <v>0.02</v>
      </c>
      <c r="J57" s="29" t="n">
        <f aca="false">IF(J46&gt;=2038,Исходные!$C$22,Исходные!$C$21)</f>
        <v>0.02</v>
      </c>
      <c r="K57" s="29" t="n">
        <f aca="false">IF(K46&gt;=2038,Исходные!$C$22,Исходные!$C$21)</f>
        <v>0.02</v>
      </c>
      <c r="L57" s="29" t="n">
        <f aca="false">IF(L46&gt;=2038,Исходные!$C$22,Исходные!$C$21)</f>
        <v>0.02</v>
      </c>
      <c r="M57" s="29" t="n">
        <f aca="false">IF(M46&gt;=2038,Исходные!$C$22,Исходные!$C$21)</f>
        <v>0.02</v>
      </c>
      <c r="N57" s="29" t="n">
        <f aca="false">IF(N46&gt;=2038,Исходные!$C$22,Исходные!$C$21)</f>
        <v>0.02</v>
      </c>
      <c r="O57" s="29" t="n">
        <f aca="false">IF(O46&gt;=2038,Исходные!$C$22,Исходные!$C$21)</f>
        <v>0.02</v>
      </c>
      <c r="P57" s="29" t="n">
        <f aca="false">IF(P46&gt;=2038,Исходные!$C$22,Исходные!$C$21)</f>
        <v>0.035</v>
      </c>
      <c r="Q57" s="29" t="n">
        <f aca="false">IF(Q46&gt;=2038,Исходные!$C$22,Исходные!$C$21)</f>
        <v>0.035</v>
      </c>
      <c r="R57" s="29" t="n">
        <f aca="false">IF(R46&gt;=2038,Исходные!$C$22,Исходные!$C$21)</f>
        <v>0.035</v>
      </c>
      <c r="S57" s="29" t="n">
        <f aca="false">IF(S46&gt;=2038,Исходные!$C$22,Исходные!$C$21)</f>
        <v>0.035</v>
      </c>
      <c r="T57" s="29" t="n">
        <f aca="false">IF(T46&gt;=2038,Исходные!$C$22,Исходные!$C$21)</f>
        <v>0.035</v>
      </c>
      <c r="U57" s="29" t="n">
        <f aca="false">IF(U46&gt;=2038,Исходные!$C$22,Исходные!$C$21)</f>
        <v>0.035</v>
      </c>
      <c r="V57" s="29" t="n">
        <f aca="false">IF(V46&gt;=2038,Исходные!$C$22,Исходные!$C$21)</f>
        <v>0.035</v>
      </c>
      <c r="W57" s="29" t="n">
        <f aca="false">IF(W46&gt;=2038,Исходные!$C$22,Исходные!$C$21)</f>
        <v>0.035</v>
      </c>
      <c r="X57" s="29" t="n">
        <f aca="false">IF(X46&gt;=2038,Исходные!$C$22,Исходные!$C$21)</f>
        <v>0.035</v>
      </c>
      <c r="Y57" s="29" t="n">
        <f aca="false">IF(Y46&gt;=2038,Исходные!$C$22,Исходные!$C$21)</f>
        <v>0.035</v>
      </c>
      <c r="Z57" s="29" t="n">
        <f aca="false">IF(Z46&gt;=2038,Исходные!$C$22,Исходные!$C$21)</f>
        <v>0.035</v>
      </c>
      <c r="AA57" s="29" t="n">
        <f aca="false">IF(AA46&gt;=2038,Исходные!$C$22,Исходные!$C$21)</f>
        <v>0.035</v>
      </c>
      <c r="AB57" s="29" t="n">
        <f aca="false">IF(AB46&gt;=2038,Исходные!$C$22,Исходные!$C$21)</f>
        <v>0.035</v>
      </c>
      <c r="AC57" s="29" t="n">
        <f aca="false">IF(AC46&gt;=2038,Исходные!$C$22,Исходные!$C$21)</f>
        <v>0.035</v>
      </c>
      <c r="AD57" s="29" t="n">
        <f aca="false">IF(AD46&gt;=2038,Исходные!$C$22,Исходные!$C$21)</f>
        <v>0.035</v>
      </c>
      <c r="AE57" s="29" t="n">
        <f aca="false">IF(AE46&gt;=2038,Исходные!$C$22,Исходные!$C$21)</f>
        <v>0.035</v>
      </c>
      <c r="AF57" s="29" t="n">
        <f aca="false">IF(AF46&gt;=2038,Исходные!$C$22,Исходные!$C$21)</f>
        <v>0.035</v>
      </c>
      <c r="AG57" s="29" t="n">
        <f aca="false">IF(AG46&gt;=2038,Исходные!$C$22,Исходные!$C$21)</f>
        <v>0.035</v>
      </c>
      <c r="AH57" s="29" t="n">
        <f aca="false">IF(AH46&gt;=2038,Исходные!$C$22,Исходные!$C$21)</f>
        <v>0.035</v>
      </c>
      <c r="AI57" s="29" t="n">
        <f aca="false">IF(AI46&gt;=2038,Исходные!$C$22,Исходные!$C$21)</f>
        <v>0.035</v>
      </c>
      <c r="AJ57" s="29" t="n">
        <f aca="false">IF(AJ46&gt;=2038,Исходные!$C$22,Исходные!$C$21)</f>
        <v>0.035</v>
      </c>
      <c r="AK57" s="29" t="n">
        <f aca="false">IF(AK46&gt;=2038,Исходные!$C$22,Исходные!$C$21)</f>
        <v>0.035</v>
      </c>
      <c r="AL57" s="29" t="n">
        <f aca="false">IF(AL46&gt;=2038,Исходные!$C$22,Исходные!$C$21)</f>
        <v>0.035</v>
      </c>
      <c r="AM57" s="29" t="n">
        <f aca="false">IF(AM46&gt;=2038,Исходные!$C$22,Исходные!$C$21)</f>
        <v>0.035</v>
      </c>
      <c r="AN57" s="29" t="n">
        <f aca="false">IF(AN46&gt;=2038,Исходные!$C$22,Исходные!$C$21)</f>
        <v>0.035</v>
      </c>
      <c r="AO57" s="29" t="n">
        <f aca="false">IF(AO46&gt;=2038,Исходные!$C$22,Исходные!$C$21)</f>
        <v>0.035</v>
      </c>
      <c r="AP57" s="29" t="n">
        <f aca="false">IF(AP46&gt;=2038,Исходные!$C$22,Исходные!$C$21)</f>
        <v>0.035</v>
      </c>
      <c r="AQ57" s="29" t="n">
        <f aca="false">IF(AQ46&gt;=2038,Исходные!$C$22,Исходные!$C$21)</f>
        <v>0.035</v>
      </c>
      <c r="AR57" s="29" t="n">
        <f aca="false">IF(AR46&gt;=2038,Исходные!$C$22,Исходные!$C$21)</f>
        <v>0.035</v>
      </c>
    </row>
    <row r="58" customFormat="false" ht="15" hidden="false" customHeight="false" outlineLevel="0" collapsed="false">
      <c r="B58" s="8" t="s">
        <v>363</v>
      </c>
      <c r="C58" s="8" t="s">
        <v>57</v>
      </c>
      <c r="D58" s="15" t="n">
        <f aca="false">SUM(E58:AR58)</f>
        <v>266.661197902793</v>
      </c>
      <c r="E58" s="15" t="n">
        <f aca="false">E52*(1-E57)</f>
        <v>0</v>
      </c>
      <c r="F58" s="15" t="n">
        <f aca="false">F52*(1-F57)</f>
        <v>0</v>
      </c>
      <c r="G58" s="15" t="n">
        <f aca="false">G52*(1-G57)</f>
        <v>0</v>
      </c>
      <c r="H58" s="15" t="n">
        <f aca="false">H52*(1-H57)</f>
        <v>0</v>
      </c>
      <c r="I58" s="15" t="n">
        <f aca="false">I52*(1-I57)</f>
        <v>4.2</v>
      </c>
      <c r="J58" s="15" t="n">
        <f aca="false">J52*(1-J57)</f>
        <v>8.4</v>
      </c>
      <c r="K58" s="15" t="n">
        <f aca="false">K52*(1-K57)</f>
        <v>11.76</v>
      </c>
      <c r="L58" s="15" t="n">
        <f aca="false">L52*(1-L57)</f>
        <v>11.76</v>
      </c>
      <c r="M58" s="15" t="n">
        <f aca="false">M52*(1-M57)</f>
        <v>11.76</v>
      </c>
      <c r="N58" s="15" t="n">
        <f aca="false">N52*(1-N57)</f>
        <v>11.76</v>
      </c>
      <c r="O58" s="15" t="n">
        <f aca="false">O52*(1-O57)</f>
        <v>11.76</v>
      </c>
      <c r="P58" s="15" t="n">
        <f aca="false">P52*(1-P57)</f>
        <v>11.58</v>
      </c>
      <c r="Q58" s="15" t="n">
        <f aca="false">Q52*(1-Q57)</f>
        <v>11.58</v>
      </c>
      <c r="R58" s="15" t="n">
        <f aca="false">R52*(1-R57)</f>
        <v>11.58</v>
      </c>
      <c r="S58" s="15" t="n">
        <f aca="false">S52*(1-S57)</f>
        <v>11.58</v>
      </c>
      <c r="T58" s="15" t="n">
        <f aca="false">T52*(1-T57)</f>
        <v>11.58</v>
      </c>
      <c r="U58" s="15" t="n">
        <f aca="false">U52*(1-U57)</f>
        <v>11.58</v>
      </c>
      <c r="V58" s="15" t="n">
        <f aca="false">V52*(1-V57)</f>
        <v>10.7782204407386</v>
      </c>
      <c r="W58" s="15" t="n">
        <f aca="false">W52*(1-W57)</f>
        <v>10.0319547382691</v>
      </c>
      <c r="X58" s="15" t="n">
        <f aca="false">X52*(1-X57)</f>
        <v>9.33735920730368</v>
      </c>
      <c r="Y58" s="15" t="n">
        <f aca="false">Y52*(1-Y57)</f>
        <v>8.6908562928048</v>
      </c>
      <c r="Z58" s="15" t="n">
        <f aca="false">Z52*(1-Z57)</f>
        <v>8.08911614357777</v>
      </c>
      <c r="AA58" s="15" t="n">
        <f aca="false">AA52*(1-AA57)</f>
        <v>7.52903946167692</v>
      </c>
      <c r="AB58" s="15" t="n">
        <f aca="false">AB52*(1-AB57)</f>
        <v>7.00774153928964</v>
      </c>
      <c r="AC58" s="15" t="n">
        <f aca="false">AC52*(1-AC57)</f>
        <v>6.52253740087951</v>
      </c>
      <c r="AD58" s="15" t="n">
        <f aca="false">AD52*(1-AD57)</f>
        <v>6.07092797406233</v>
      </c>
      <c r="AE58" s="15" t="n">
        <f aca="false">AE52*(1-AE57)</f>
        <v>5.65058721798709</v>
      </c>
      <c r="AF58" s="15" t="n">
        <f aca="false">AF52*(1-AF57)</f>
        <v>5.25935014292616</v>
      </c>
      <c r="AG58" s="15" t="n">
        <f aca="false">AG52*(1-AG57)</f>
        <v>4.8952016593686</v>
      </c>
      <c r="AH58" s="15" t="n">
        <f aca="false">AH52*(1-AH57)</f>
        <v>4.55626619918344</v>
      </c>
      <c r="AI58" s="15" t="n">
        <f aca="false">AI52*(1-AI57)</f>
        <v>4.24079805539598</v>
      </c>
      <c r="AJ58" s="15" t="n">
        <f aca="false">AJ52*(1-AJ57)</f>
        <v>3.94717239082155</v>
      </c>
      <c r="AK58" s="15" t="n">
        <f aca="false">AK52*(1-AK57)</f>
        <v>3.67387686924629</v>
      </c>
      <c r="AL58" s="15" t="n">
        <f aca="false">AL52*(1-AL57)</f>
        <v>3.41950386605071</v>
      </c>
      <c r="AM58" s="15" t="n">
        <f aca="false">AM52*(1-AM57)</f>
        <v>3.18274321815652</v>
      </c>
      <c r="AN58" s="15" t="n">
        <f aca="false">AN52*(1-AN57)</f>
        <v>2.96237547595482</v>
      </c>
      <c r="AO58" s="15" t="n">
        <f aca="false">AO52*(1-AO57)</f>
        <v>2.75726562245934</v>
      </c>
      <c r="AP58" s="15" t="n">
        <f aca="false">AP52*(1-AP57)</f>
        <v>2.56635722733481</v>
      </c>
      <c r="AQ58" s="15" t="n">
        <f aca="false">AQ52*(1-AQ57)</f>
        <v>2.38866700569062</v>
      </c>
      <c r="AR58" s="15" t="n">
        <f aca="false">AR52*(1-AR57)</f>
        <v>2.22327975361421</v>
      </c>
    </row>
    <row r="59" customFormat="false" ht="15" hidden="false" customHeight="false" outlineLevel="0" collapsed="false">
      <c r="B59" s="8" t="s">
        <v>364</v>
      </c>
      <c r="C59" s="8" t="s">
        <v>57</v>
      </c>
      <c r="D59" s="54" t="n">
        <f aca="false">SUM(E59:AR59)</f>
        <v>6.34412901506064</v>
      </c>
      <c r="E59" s="54" t="n">
        <f aca="false">IF(AND($D$17=1,E46&gt;=Исходные!$C$42,E52&gt;0),$D$44,0)</f>
        <v>0</v>
      </c>
      <c r="F59" s="54" t="n">
        <f aca="false">IF(AND($D$17=1,F46&gt;=Исходные!$C$42,F52&gt;0),$D$44,0)</f>
        <v>0</v>
      </c>
      <c r="G59" s="54" t="n">
        <f aca="false">IF(AND($D$17=1,G46&gt;=Исходные!$C$42,G52&gt;0),$D$44,0)</f>
        <v>0</v>
      </c>
      <c r="H59" s="54" t="n">
        <f aca="false">IF(AND($D$17=1,H46&gt;=Исходные!$C$42,H52&gt;0),$D$44,0)</f>
        <v>0</v>
      </c>
      <c r="I59" s="54" t="n">
        <f aca="false">IF(AND($D$17=1,I46&gt;=Исходные!$C$42,I52&gt;0),$D$44,0)</f>
        <v>0</v>
      </c>
      <c r="J59" s="54" t="n">
        <f aca="false">IF(AND($D$17=1,J46&gt;=Исходные!$C$42,J52&gt;0),$D$44,0)</f>
        <v>0</v>
      </c>
      <c r="K59" s="54" t="n">
        <f aca="false">IF(AND($D$17=1,K46&gt;=Исходные!$C$42,K52&gt;0),$D$44,0)</f>
        <v>0.186592029854725</v>
      </c>
      <c r="L59" s="54" t="n">
        <f aca="false">IF(AND($D$17=1,L46&gt;=Исходные!$C$42,L52&gt;0),$D$44,0)</f>
        <v>0.186592029854725</v>
      </c>
      <c r="M59" s="54" t="n">
        <f aca="false">IF(AND($D$17=1,M46&gt;=Исходные!$C$42,M52&gt;0),$D$44,0)</f>
        <v>0.186592029854725</v>
      </c>
      <c r="N59" s="54" t="n">
        <f aca="false">IF(AND($D$17=1,N46&gt;=Исходные!$C$42,N52&gt;0),$D$44,0)</f>
        <v>0.186592029854725</v>
      </c>
      <c r="O59" s="54" t="n">
        <f aca="false">IF(AND($D$17=1,O46&gt;=Исходные!$C$42,O52&gt;0),$D$44,0)</f>
        <v>0.186592029854725</v>
      </c>
      <c r="P59" s="54" t="n">
        <f aca="false">IF(AND($D$17=1,P46&gt;=Исходные!$C$42,P52&gt;0),$D$44,0)</f>
        <v>0.186592029854725</v>
      </c>
      <c r="Q59" s="54" t="n">
        <f aca="false">IF(AND($D$17=1,Q46&gt;=Исходные!$C$42,Q52&gt;0),$D$44,0)</f>
        <v>0.186592029854725</v>
      </c>
      <c r="R59" s="54" t="n">
        <f aca="false">IF(AND($D$17=1,R46&gt;=Исходные!$C$42,R52&gt;0),$D$44,0)</f>
        <v>0.186592029854725</v>
      </c>
      <c r="S59" s="54" t="n">
        <f aca="false">IF(AND($D$17=1,S46&gt;=Исходные!$C$42,S52&gt;0),$D$44,0)</f>
        <v>0.186592029854725</v>
      </c>
      <c r="T59" s="54" t="n">
        <f aca="false">IF(AND($D$17=1,T46&gt;=Исходные!$C$42,T52&gt;0),$D$44,0)</f>
        <v>0.186592029854725</v>
      </c>
      <c r="U59" s="54" t="n">
        <f aca="false">IF(AND($D$17=1,U46&gt;=Исходные!$C$42,U52&gt;0),$D$44,0)</f>
        <v>0.186592029854725</v>
      </c>
      <c r="V59" s="54" t="n">
        <f aca="false">IF(AND($D$17=1,V46&gt;=Исходные!$C$42,V52&gt;0),$D$44,0)</f>
        <v>0.186592029854725</v>
      </c>
      <c r="W59" s="54" t="n">
        <f aca="false">IF(AND($D$17=1,W46&gt;=Исходные!$C$42,W52&gt;0),$D$44,0)</f>
        <v>0.186592029854725</v>
      </c>
      <c r="X59" s="54" t="n">
        <f aca="false">IF(AND($D$17=1,X46&gt;=Исходные!$C$42,X52&gt;0),$D$44,0)</f>
        <v>0.186592029854725</v>
      </c>
      <c r="Y59" s="54" t="n">
        <f aca="false">IF(AND($D$17=1,Y46&gt;=Исходные!$C$42,Y52&gt;0),$D$44,0)</f>
        <v>0.186592029854725</v>
      </c>
      <c r="Z59" s="54" t="n">
        <f aca="false">IF(AND($D$17=1,Z46&gt;=Исходные!$C$42,Z52&gt;0),$D$44,0)</f>
        <v>0.186592029854725</v>
      </c>
      <c r="AA59" s="54" t="n">
        <f aca="false">IF(AND($D$17=1,AA46&gt;=Исходные!$C$42,AA52&gt;0),$D$44,0)</f>
        <v>0.186592029854725</v>
      </c>
      <c r="AB59" s="54" t="n">
        <f aca="false">IF(AND($D$17=1,AB46&gt;=Исходные!$C$42,AB52&gt;0),$D$44,0)</f>
        <v>0.186592029854725</v>
      </c>
      <c r="AC59" s="54" t="n">
        <f aca="false">IF(AND($D$17=1,AC46&gt;=Исходные!$C$42,AC52&gt;0),$D$44,0)</f>
        <v>0.186592029854725</v>
      </c>
      <c r="AD59" s="54" t="n">
        <f aca="false">IF(AND($D$17=1,AD46&gt;=Исходные!$C$42,AD52&gt;0),$D$44,0)</f>
        <v>0.186592029854725</v>
      </c>
      <c r="AE59" s="54" t="n">
        <f aca="false">IF(AND($D$17=1,AE46&gt;=Исходные!$C$42,AE52&gt;0),$D$44,0)</f>
        <v>0.186592029854725</v>
      </c>
      <c r="AF59" s="54" t="n">
        <f aca="false">IF(AND($D$17=1,AF46&gt;=Исходные!$C$42,AF52&gt;0),$D$44,0)</f>
        <v>0.186592029854725</v>
      </c>
      <c r="AG59" s="54" t="n">
        <f aca="false">IF(AND($D$17=1,AG46&gt;=Исходные!$C$42,AG52&gt;0),$D$44,0)</f>
        <v>0.186592029854725</v>
      </c>
      <c r="AH59" s="54" t="n">
        <f aca="false">IF(AND($D$17=1,AH46&gt;=Исходные!$C$42,AH52&gt;0),$D$44,0)</f>
        <v>0.186592029854725</v>
      </c>
      <c r="AI59" s="54" t="n">
        <f aca="false">IF(AND($D$17=1,AI46&gt;=Исходные!$C$42,AI52&gt;0),$D$44,0)</f>
        <v>0.186592029854725</v>
      </c>
      <c r="AJ59" s="54" t="n">
        <f aca="false">IF(AND($D$17=1,AJ46&gt;=Исходные!$C$42,AJ52&gt;0),$D$44,0)</f>
        <v>0.186592029854725</v>
      </c>
      <c r="AK59" s="54" t="n">
        <f aca="false">IF(AND($D$17=1,AK46&gt;=Исходные!$C$42,AK52&gt;0),$D$44,0)</f>
        <v>0.186592029854725</v>
      </c>
      <c r="AL59" s="54" t="n">
        <f aca="false">IF(AND($D$17=1,AL46&gt;=Исходные!$C$42,AL52&gt;0),$D$44,0)</f>
        <v>0.186592029854725</v>
      </c>
      <c r="AM59" s="54" t="n">
        <f aca="false">IF(AND($D$17=1,AM46&gt;=Исходные!$C$42,AM52&gt;0),$D$44,0)</f>
        <v>0.186592029854725</v>
      </c>
      <c r="AN59" s="54" t="n">
        <f aca="false">IF(AND($D$17=1,AN46&gt;=Исходные!$C$42,AN52&gt;0),$D$44,0)</f>
        <v>0.186592029854725</v>
      </c>
      <c r="AO59" s="54" t="n">
        <f aca="false">IF(AND($D$17=1,AO46&gt;=Исходные!$C$42,AO52&gt;0),$D$44,0)</f>
        <v>0.186592029854725</v>
      </c>
      <c r="AP59" s="54" t="n">
        <f aca="false">IF(AND($D$17=1,AP46&gt;=Исходные!$C$42,AP52&gt;0),$D$44,0)</f>
        <v>0.186592029854725</v>
      </c>
      <c r="AQ59" s="54" t="n">
        <f aca="false">IF(AND($D$17=1,AQ46&gt;=Исходные!$C$42,AQ52&gt;0),$D$44,0)</f>
        <v>0.186592029854725</v>
      </c>
      <c r="AR59" s="54" t="n">
        <f aca="false">IF(AND($D$17=1,AR46&gt;=Исходные!$C$42,AR52&gt;0),$D$44,0)</f>
        <v>0.186592029854725</v>
      </c>
    </row>
    <row r="60" customFormat="false" ht="15" hidden="false" customHeight="false" outlineLevel="0" collapsed="false">
      <c r="B60" s="3" t="s">
        <v>365</v>
      </c>
      <c r="C60" s="8" t="s">
        <v>57</v>
      </c>
      <c r="D60" s="15" t="n">
        <f aca="false">SUM(E60:AR60)</f>
        <v>257.231589394239</v>
      </c>
      <c r="E60" s="15" t="n">
        <f aca="false">E58*$D$37/1000-E59</f>
        <v>0</v>
      </c>
      <c r="F60" s="15" t="n">
        <f aca="false">F58*$D$37/1000-F59</f>
        <v>0</v>
      </c>
      <c r="G60" s="15" t="n">
        <f aca="false">G58*$D$37/1000-G59</f>
        <v>0</v>
      </c>
      <c r="H60" s="15" t="n">
        <f aca="false">H58*$D$37/1000-H59</f>
        <v>0</v>
      </c>
      <c r="I60" s="15" t="n">
        <f aca="false">I58*$D$37/1000-I59</f>
        <v>4.15140270135068</v>
      </c>
      <c r="J60" s="15" t="n">
        <f aca="false">J58*$D$37/1000-J59</f>
        <v>8.30280540270135</v>
      </c>
      <c r="K60" s="15" t="n">
        <f aca="false">K58*$D$37/1000-K59</f>
        <v>11.4373355339272</v>
      </c>
      <c r="L60" s="15" t="n">
        <f aca="false">L58*$D$37/1000-L59</f>
        <v>11.4373355339272</v>
      </c>
      <c r="M60" s="15" t="n">
        <f aca="false">M58*$D$37/1000-M59</f>
        <v>11.4373355339272</v>
      </c>
      <c r="N60" s="15" t="n">
        <f aca="false">N58*$D$37/1000-N59</f>
        <v>11.4373355339272</v>
      </c>
      <c r="O60" s="15" t="n">
        <f aca="false">O58*$D$37/1000-O59</f>
        <v>11.4373355339272</v>
      </c>
      <c r="P60" s="15" t="n">
        <f aca="false">P58*$D$37/1000-P59</f>
        <v>11.2594182752979</v>
      </c>
      <c r="Q60" s="15" t="n">
        <f aca="false">Q58*$D$37/1000-Q59</f>
        <v>11.2594182752979</v>
      </c>
      <c r="R60" s="15" t="n">
        <f aca="false">R58*$D$37/1000-R59</f>
        <v>11.2594182752979</v>
      </c>
      <c r="S60" s="15" t="n">
        <f aca="false">S58*$D$37/1000-S59</f>
        <v>11.2594182752979</v>
      </c>
      <c r="T60" s="15" t="n">
        <f aca="false">T58*$D$37/1000-T59</f>
        <v>11.2594182752979</v>
      </c>
      <c r="U60" s="15" t="n">
        <f aca="false">U58*$D$37/1000-U59</f>
        <v>11.2594182752979</v>
      </c>
      <c r="V60" s="15" t="n">
        <f aca="false">V58*$D$37/1000-V59</f>
        <v>10.4669159352489</v>
      </c>
      <c r="W60" s="15" t="n">
        <f aca="false">W58*$D$37/1000-W59</f>
        <v>9.72928511306861</v>
      </c>
      <c r="X60" s="15" t="n">
        <f aca="false">X58*$D$37/1000-X59</f>
        <v>9.04272659792673</v>
      </c>
      <c r="Y60" s="15" t="n">
        <f aca="false">Y58*$D$37/1000-Y59</f>
        <v>8.40370422990726</v>
      </c>
      <c r="Z60" s="15" t="n">
        <f aca="false">Z58*$D$37/1000-Z59</f>
        <v>7.80892668680911</v>
      </c>
      <c r="AA60" s="15" t="n">
        <f aca="false">AA58*$D$37/1000-AA59</f>
        <v>7.25533053199799</v>
      </c>
      <c r="AB60" s="15" t="n">
        <f aca="false">AB58*$D$37/1000-AB59</f>
        <v>6.74006443599631</v>
      </c>
      <c r="AC60" s="15" t="n">
        <f aca="false">AC58*$D$37/1000-AC59</f>
        <v>6.26047449054337</v>
      </c>
      <c r="AD60" s="15" t="n">
        <f aca="false">AD58*$D$37/1000-AD59</f>
        <v>5.81409053948521</v>
      </c>
      <c r="AE60" s="15" t="n">
        <f aca="false">AE58*$D$37/1000-AE59</f>
        <v>5.39861345609033</v>
      </c>
      <c r="AF60" s="15" t="n">
        <f aca="false">AF58*$D$37/1000-AF59</f>
        <v>5.01190330126259</v>
      </c>
      <c r="AG60" s="15" t="n">
        <f aca="false">AG58*$D$37/1000-AG59</f>
        <v>4.65196830165935</v>
      </c>
      <c r="AH60" s="15" t="n">
        <f aca="false">AH58*$D$37/1000-AH59</f>
        <v>4.31695459094597</v>
      </c>
      <c r="AI60" s="15" t="n">
        <f aca="false">AI58*$D$37/1000-AI59</f>
        <v>4.00513666134851</v>
      </c>
      <c r="AJ60" s="15" t="n">
        <f aca="false">AJ58*$D$37/1000-AJ59</f>
        <v>3.71490847632466</v>
      </c>
      <c r="AK60" s="15" t="n">
        <f aca="false">AK58*$D$37/1000-AK59</f>
        <v>3.44477519857833</v>
      </c>
      <c r="AL60" s="15" t="n">
        <f aca="false">AL58*$D$37/1000-AL59</f>
        <v>3.19334549081242</v>
      </c>
      <c r="AM60" s="15" t="n">
        <f aca="false">AM58*$D$37/1000-AM59</f>
        <v>2.95932434956445</v>
      </c>
      <c r="AN60" s="15" t="n">
        <f aca="false">AN58*$D$37/1000-AN59</f>
        <v>2.74150643521524</v>
      </c>
      <c r="AO60" s="15" t="n">
        <f aca="false">AO58*$D$37/1000-AO59</f>
        <v>2.53876986381647</v>
      </c>
      <c r="AP60" s="15" t="n">
        <f aca="false">AP58*$D$37/1000-AP59</f>
        <v>2.3500704287616</v>
      </c>
      <c r="AQ60" s="15" t="n">
        <f aca="false">AQ58*$D$37/1000-AQ59</f>
        <v>2.17443622253844</v>
      </c>
      <c r="AR60" s="15" t="n">
        <f aca="false">AR58*$D$37/1000-AR59</f>
        <v>2.01096263086249</v>
      </c>
    </row>
    <row r="61" customFormat="false" ht="15" hidden="false" customHeight="false" outlineLevel="0" collapsed="false">
      <c r="B61" s="8" t="s">
        <v>366</v>
      </c>
      <c r="C61" s="8" t="s">
        <v>367</v>
      </c>
      <c r="D61" s="54" t="n">
        <f aca="false">SUM(E61:AR61)</f>
        <v>11.0223042147035</v>
      </c>
      <c r="E61" s="54" t="n">
        <f aca="false">E58*$D$34/1000</f>
        <v>0</v>
      </c>
      <c r="F61" s="54" t="n">
        <f aca="false">F58*$D$34/1000</f>
        <v>0</v>
      </c>
      <c r="G61" s="54" t="n">
        <f aca="false">G58*$D$34/1000</f>
        <v>0</v>
      </c>
      <c r="H61" s="54" t="n">
        <f aca="false">H58*$D$34/1000</f>
        <v>0</v>
      </c>
      <c r="I61" s="54" t="n">
        <f aca="false">I58*$D$34/1000</f>
        <v>0.173604851646359</v>
      </c>
      <c r="J61" s="54" t="n">
        <f aca="false">J58*$D$34/1000</f>
        <v>0.347209703292719</v>
      </c>
      <c r="K61" s="54" t="n">
        <f aca="false">K58*$D$34/1000</f>
        <v>0.486093584609806</v>
      </c>
      <c r="L61" s="54" t="n">
        <f aca="false">L58*$D$34/1000</f>
        <v>0.486093584609806</v>
      </c>
      <c r="M61" s="54" t="n">
        <f aca="false">M58*$D$34/1000</f>
        <v>0.486093584609806</v>
      </c>
      <c r="N61" s="54" t="n">
        <f aca="false">N58*$D$34/1000</f>
        <v>0.486093584609806</v>
      </c>
      <c r="O61" s="54" t="n">
        <f aca="false">O58*$D$34/1000</f>
        <v>0.486093584609806</v>
      </c>
      <c r="P61" s="54" t="n">
        <f aca="false">P58*$D$34/1000</f>
        <v>0.478653376682105</v>
      </c>
      <c r="Q61" s="54" t="n">
        <f aca="false">Q58*$D$34/1000</f>
        <v>0.478653376682105</v>
      </c>
      <c r="R61" s="54" t="n">
        <f aca="false">R58*$D$34/1000</f>
        <v>0.478653376682105</v>
      </c>
      <c r="S61" s="54" t="n">
        <f aca="false">S58*$D$34/1000</f>
        <v>0.478653376682105</v>
      </c>
      <c r="T61" s="54" t="n">
        <f aca="false">T58*$D$34/1000</f>
        <v>0.478653376682105</v>
      </c>
      <c r="U61" s="54" t="n">
        <f aca="false">U58*$D$34/1000</f>
        <v>0.478653376682105</v>
      </c>
      <c r="V61" s="54" t="n">
        <f aca="false">V58*$D$34/1000</f>
        <v>0.445512228720521</v>
      </c>
      <c r="W61" s="54" t="n">
        <f aca="false">W58*$D$34/1000</f>
        <v>0.41466571763338</v>
      </c>
      <c r="X61" s="54" t="n">
        <f aca="false">X58*$D$34/1000</f>
        <v>0.38595496665541</v>
      </c>
      <c r="Y61" s="54" t="n">
        <f aca="false">Y58*$D$34/1000</f>
        <v>0.359232099379097</v>
      </c>
      <c r="Z61" s="54" t="n">
        <f aca="false">Z58*$D$34/1000</f>
        <v>0.334359478108569</v>
      </c>
      <c r="AA61" s="54" t="n">
        <f aca="false">AA58*$D$34/1000</f>
        <v>0.311208994948573</v>
      </c>
      <c r="AB61" s="54" t="n">
        <f aca="false">AB58*$D$34/1000</f>
        <v>0.28966141197724</v>
      </c>
      <c r="AC61" s="54" t="n">
        <f aca="false">AC58*$D$34/1000</f>
        <v>0.269605747104171</v>
      </c>
      <c r="AD61" s="54" t="n">
        <f aca="false">AD58*$D$34/1000</f>
        <v>0.250938702450672</v>
      </c>
      <c r="AE61" s="54" t="n">
        <f aca="false">AE58*$D$34/1000</f>
        <v>0.233564132307968</v>
      </c>
      <c r="AF61" s="54" t="n">
        <f aca="false">AF58*$D$34/1000</f>
        <v>0.217392547933084</v>
      </c>
      <c r="AG61" s="54" t="n">
        <f aca="false">AG58*$D$34/1000</f>
        <v>0.202340656631833</v>
      </c>
      <c r="AH61" s="54" t="n">
        <f aca="false">AH58*$D$34/1000</f>
        <v>0.188330932754896</v>
      </c>
      <c r="AI61" s="54" t="n">
        <f aca="false">AI58*$D$34/1000</f>
        <v>0.175291218397426</v>
      </c>
      <c r="AJ61" s="54" t="n">
        <f aca="false">AJ58*$D$34/1000</f>
        <v>0.163154351745519</v>
      </c>
      <c r="AK61" s="54" t="n">
        <f aca="false">AK58*$D$34/1000</f>
        <v>0.151857821155356</v>
      </c>
      <c r="AL61" s="54" t="n">
        <f aca="false">AL58*$D$34/1000</f>
        <v>0.141343443183306</v>
      </c>
      <c r="AM61" s="54" t="n">
        <f aca="false">AM58*$D$34/1000</f>
        <v>0.131557062908695</v>
      </c>
      <c r="AN61" s="54" t="n">
        <f aca="false">AN58*$D$34/1000</f>
        <v>0.122448275005703</v>
      </c>
      <c r="AO61" s="54" t="n">
        <f aca="false">AO58*$D$34/1000</f>
        <v>0.113970164127776</v>
      </c>
      <c r="AP61" s="54" t="n">
        <f aca="false">AP58*$D$34/1000</f>
        <v>0.106079063267386</v>
      </c>
      <c r="AQ61" s="54" t="n">
        <f aca="false">AQ58*$D$34/1000</f>
        <v>0.0987343288465414</v>
      </c>
      <c r="AR61" s="54" t="n">
        <f aca="false">AR58*$D$34/1000</f>
        <v>0.0918981313796547</v>
      </c>
    </row>
    <row r="62" customFormat="false" ht="15" hidden="false" customHeight="false" outlineLevel="0" collapsed="false">
      <c r="B62" s="8" t="s">
        <v>368</v>
      </c>
      <c r="C62" s="8" t="s">
        <v>367</v>
      </c>
      <c r="D62" s="54" t="n">
        <f aca="false">SUM(E62:AR62)</f>
        <v>0</v>
      </c>
      <c r="E62" s="54" t="n">
        <f aca="false">E58*$D$35/1000</f>
        <v>0</v>
      </c>
      <c r="F62" s="54" t="n">
        <f aca="false">F58*$D$35/1000</f>
        <v>0</v>
      </c>
      <c r="G62" s="54" t="n">
        <f aca="false">G58*$D$35/1000</f>
        <v>0</v>
      </c>
      <c r="H62" s="54" t="n">
        <f aca="false">H58*$D$35/1000</f>
        <v>0</v>
      </c>
      <c r="I62" s="54" t="n">
        <f aca="false">I58*$D$35/1000</f>
        <v>0</v>
      </c>
      <c r="J62" s="54" t="n">
        <f aca="false">J58*$D$35/1000</f>
        <v>0</v>
      </c>
      <c r="K62" s="54" t="n">
        <f aca="false">K58*$D$35/1000</f>
        <v>0</v>
      </c>
      <c r="L62" s="54" t="n">
        <f aca="false">L58*$D$35/1000</f>
        <v>0</v>
      </c>
      <c r="M62" s="54" t="n">
        <f aca="false">M58*$D$35/1000</f>
        <v>0</v>
      </c>
      <c r="N62" s="54" t="n">
        <f aca="false">N58*$D$35/1000</f>
        <v>0</v>
      </c>
      <c r="O62" s="54" t="n">
        <f aca="false">O58*$D$35/1000</f>
        <v>0</v>
      </c>
      <c r="P62" s="54" t="n">
        <f aca="false">P58*$D$35/1000</f>
        <v>0</v>
      </c>
      <c r="Q62" s="54" t="n">
        <f aca="false">Q58*$D$35/1000</f>
        <v>0</v>
      </c>
      <c r="R62" s="54" t="n">
        <f aca="false">R58*$D$35/1000</f>
        <v>0</v>
      </c>
      <c r="S62" s="54" t="n">
        <f aca="false">S58*$D$35/1000</f>
        <v>0</v>
      </c>
      <c r="T62" s="54" t="n">
        <f aca="false">T58*$D$35/1000</f>
        <v>0</v>
      </c>
      <c r="U62" s="54" t="n">
        <f aca="false">U58*$D$35/1000</f>
        <v>0</v>
      </c>
      <c r="V62" s="54" t="n">
        <f aca="false">V58*$D$35/1000</f>
        <v>0</v>
      </c>
      <c r="W62" s="54" t="n">
        <f aca="false">W58*$D$35/1000</f>
        <v>0</v>
      </c>
      <c r="X62" s="54" t="n">
        <f aca="false">X58*$D$35/1000</f>
        <v>0</v>
      </c>
      <c r="Y62" s="54" t="n">
        <f aca="false">Y58*$D$35/1000</f>
        <v>0</v>
      </c>
      <c r="Z62" s="54" t="n">
        <f aca="false">Z58*$D$35/1000</f>
        <v>0</v>
      </c>
      <c r="AA62" s="54" t="n">
        <f aca="false">AA58*$D$35/1000</f>
        <v>0</v>
      </c>
      <c r="AB62" s="54" t="n">
        <f aca="false">AB58*$D$35/1000</f>
        <v>0</v>
      </c>
      <c r="AC62" s="54" t="n">
        <f aca="false">AC58*$D$35/1000</f>
        <v>0</v>
      </c>
      <c r="AD62" s="54" t="n">
        <f aca="false">AD58*$D$35/1000</f>
        <v>0</v>
      </c>
      <c r="AE62" s="54" t="n">
        <f aca="false">AE58*$D$35/1000</f>
        <v>0</v>
      </c>
      <c r="AF62" s="54" t="n">
        <f aca="false">AF58*$D$35/1000</f>
        <v>0</v>
      </c>
      <c r="AG62" s="54" t="n">
        <f aca="false">AG58*$D$35/1000</f>
        <v>0</v>
      </c>
      <c r="AH62" s="54" t="n">
        <f aca="false">AH58*$D$35/1000</f>
        <v>0</v>
      </c>
      <c r="AI62" s="54" t="n">
        <f aca="false">AI58*$D$35/1000</f>
        <v>0</v>
      </c>
      <c r="AJ62" s="54" t="n">
        <f aca="false">AJ58*$D$35/1000</f>
        <v>0</v>
      </c>
      <c r="AK62" s="54" t="n">
        <f aca="false">AK58*$D$35/1000</f>
        <v>0</v>
      </c>
      <c r="AL62" s="54" t="n">
        <f aca="false">AL58*$D$35/1000</f>
        <v>0</v>
      </c>
      <c r="AM62" s="54" t="n">
        <f aca="false">AM58*$D$35/1000</f>
        <v>0</v>
      </c>
      <c r="AN62" s="54" t="n">
        <f aca="false">AN58*$D$35/1000</f>
        <v>0</v>
      </c>
      <c r="AO62" s="54" t="n">
        <f aca="false">AO58*$D$35/1000</f>
        <v>0</v>
      </c>
      <c r="AP62" s="54" t="n">
        <f aca="false">AP58*$D$35/1000</f>
        <v>0</v>
      </c>
      <c r="AQ62" s="54" t="n">
        <f aca="false">AQ58*$D$35/1000</f>
        <v>0</v>
      </c>
      <c r="AR62" s="54" t="n">
        <f aca="false">AR58*$D$35/1000</f>
        <v>0</v>
      </c>
    </row>
    <row r="63" customFormat="false" ht="15" hidden="false" customHeight="false" outlineLevel="0" collapsed="false">
      <c r="B63" s="8" t="s">
        <v>188</v>
      </c>
      <c r="C63" s="8" t="s">
        <v>367</v>
      </c>
      <c r="D63" s="54" t="n">
        <f aca="false">SUM(E63:AR63)</f>
        <v>0</v>
      </c>
      <c r="E63" s="54" t="n">
        <f aca="false">E58*$D$36/1000</f>
        <v>0</v>
      </c>
      <c r="F63" s="54" t="n">
        <f aca="false">F58*$D$36/1000</f>
        <v>0</v>
      </c>
      <c r="G63" s="54" t="n">
        <f aca="false">G58*$D$36/1000</f>
        <v>0</v>
      </c>
      <c r="H63" s="54" t="n">
        <f aca="false">H58*$D$36/1000</f>
        <v>0</v>
      </c>
      <c r="I63" s="54" t="n">
        <f aca="false">I58*$D$36/1000</f>
        <v>0</v>
      </c>
      <c r="J63" s="54" t="n">
        <f aca="false">J58*$D$36/1000</f>
        <v>0</v>
      </c>
      <c r="K63" s="54" t="n">
        <f aca="false">K58*$D$36/1000</f>
        <v>0</v>
      </c>
      <c r="L63" s="54" t="n">
        <f aca="false">L58*$D$36/1000</f>
        <v>0</v>
      </c>
      <c r="M63" s="54" t="n">
        <f aca="false">M58*$D$36/1000</f>
        <v>0</v>
      </c>
      <c r="N63" s="54" t="n">
        <f aca="false">N58*$D$36/1000</f>
        <v>0</v>
      </c>
      <c r="O63" s="54" t="n">
        <f aca="false">O58*$D$36/1000</f>
        <v>0</v>
      </c>
      <c r="P63" s="54" t="n">
        <f aca="false">P58*$D$36/1000</f>
        <v>0</v>
      </c>
      <c r="Q63" s="54" t="n">
        <f aca="false">Q58*$D$36/1000</f>
        <v>0</v>
      </c>
      <c r="R63" s="54" t="n">
        <f aca="false">R58*$D$36/1000</f>
        <v>0</v>
      </c>
      <c r="S63" s="54" t="n">
        <f aca="false">S58*$D$36/1000</f>
        <v>0</v>
      </c>
      <c r="T63" s="54" t="n">
        <f aca="false">T58*$D$36/1000</f>
        <v>0</v>
      </c>
      <c r="U63" s="54" t="n">
        <f aca="false">U58*$D$36/1000</f>
        <v>0</v>
      </c>
      <c r="V63" s="54" t="n">
        <f aca="false">V58*$D$36/1000</f>
        <v>0</v>
      </c>
      <c r="W63" s="54" t="n">
        <f aca="false">W58*$D$36/1000</f>
        <v>0</v>
      </c>
      <c r="X63" s="54" t="n">
        <f aca="false">X58*$D$36/1000</f>
        <v>0</v>
      </c>
      <c r="Y63" s="54" t="n">
        <f aca="false">Y58*$D$36/1000</f>
        <v>0</v>
      </c>
      <c r="Z63" s="54" t="n">
        <f aca="false">Z58*$D$36/1000</f>
        <v>0</v>
      </c>
      <c r="AA63" s="54" t="n">
        <f aca="false">AA58*$D$36/1000</f>
        <v>0</v>
      </c>
      <c r="AB63" s="54" t="n">
        <f aca="false">AB58*$D$36/1000</f>
        <v>0</v>
      </c>
      <c r="AC63" s="54" t="n">
        <f aca="false">AC58*$D$36/1000</f>
        <v>0</v>
      </c>
      <c r="AD63" s="54" t="n">
        <f aca="false">AD58*$D$36/1000</f>
        <v>0</v>
      </c>
      <c r="AE63" s="54" t="n">
        <f aca="false">AE58*$D$36/1000</f>
        <v>0</v>
      </c>
      <c r="AF63" s="54" t="n">
        <f aca="false">AF58*$D$36/1000</f>
        <v>0</v>
      </c>
      <c r="AG63" s="54" t="n">
        <f aca="false">AG58*$D$36/1000</f>
        <v>0</v>
      </c>
      <c r="AH63" s="54" t="n">
        <f aca="false">AH58*$D$36/1000</f>
        <v>0</v>
      </c>
      <c r="AI63" s="54" t="n">
        <f aca="false">AI58*$D$36/1000</f>
        <v>0</v>
      </c>
      <c r="AJ63" s="54" t="n">
        <f aca="false">AJ58*$D$36/1000</f>
        <v>0</v>
      </c>
      <c r="AK63" s="54" t="n">
        <f aca="false">AK58*$D$36/1000</f>
        <v>0</v>
      </c>
      <c r="AL63" s="54" t="n">
        <f aca="false">AL58*$D$36/1000</f>
        <v>0</v>
      </c>
      <c r="AM63" s="54" t="n">
        <f aca="false">AM58*$D$36/1000</f>
        <v>0</v>
      </c>
      <c r="AN63" s="54" t="n">
        <f aca="false">AN58*$D$36/1000</f>
        <v>0</v>
      </c>
      <c r="AO63" s="54" t="n">
        <f aca="false">AO58*$D$36/1000</f>
        <v>0</v>
      </c>
      <c r="AP63" s="54" t="n">
        <f aca="false">AP58*$D$36/1000</f>
        <v>0</v>
      </c>
      <c r="AQ63" s="54" t="n">
        <f aca="false">AQ58*$D$36/1000</f>
        <v>0</v>
      </c>
      <c r="AR63" s="54" t="n">
        <f aca="false">AR58*$D$36/1000</f>
        <v>0</v>
      </c>
    </row>
    <row r="64" customFormat="false" ht="15" hidden="false" customHeight="false" outlineLevel="0" collapsed="false">
      <c r="B64" s="8" t="s">
        <v>369</v>
      </c>
      <c r="C64" s="8" t="s">
        <v>367</v>
      </c>
      <c r="D64" s="54" t="n">
        <f aca="false">SUM(E64:AR64)</f>
        <v>1.36</v>
      </c>
      <c r="E64" s="54" t="n">
        <f aca="false">IF(E59&gt;0,Исходные!$C$39/1000,0)</f>
        <v>0</v>
      </c>
      <c r="F64" s="54" t="n">
        <f aca="false">IF(F59&gt;0,Исходные!$C$39/1000,0)</f>
        <v>0</v>
      </c>
      <c r="G64" s="54" t="n">
        <f aca="false">IF(G59&gt;0,Исходные!$C$39/1000,0)</f>
        <v>0</v>
      </c>
      <c r="H64" s="54" t="n">
        <f aca="false">IF(H59&gt;0,Исходные!$C$39/1000,0)</f>
        <v>0</v>
      </c>
      <c r="I64" s="54" t="n">
        <f aca="false">IF(I59&gt;0,Исходные!$C$39/1000,0)</f>
        <v>0</v>
      </c>
      <c r="J64" s="54" t="n">
        <f aca="false">IF(J59&gt;0,Исходные!$C$39/1000,0)</f>
        <v>0</v>
      </c>
      <c r="K64" s="54" t="n">
        <f aca="false">IF(K59&gt;0,Исходные!$C$39/1000,0)</f>
        <v>0.04</v>
      </c>
      <c r="L64" s="54" t="n">
        <f aca="false">IF(L59&gt;0,Исходные!$C$39/1000,0)</f>
        <v>0.04</v>
      </c>
      <c r="M64" s="54" t="n">
        <f aca="false">IF(M59&gt;0,Исходные!$C$39/1000,0)</f>
        <v>0.04</v>
      </c>
      <c r="N64" s="54" t="n">
        <f aca="false">IF(N59&gt;0,Исходные!$C$39/1000,0)</f>
        <v>0.04</v>
      </c>
      <c r="O64" s="54" t="n">
        <f aca="false">IF(O59&gt;0,Исходные!$C$39/1000,0)</f>
        <v>0.04</v>
      </c>
      <c r="P64" s="54" t="n">
        <f aca="false">IF(P59&gt;0,Исходные!$C$39/1000,0)</f>
        <v>0.04</v>
      </c>
      <c r="Q64" s="54" t="n">
        <f aca="false">IF(Q59&gt;0,Исходные!$C$39/1000,0)</f>
        <v>0.04</v>
      </c>
      <c r="R64" s="54" t="n">
        <f aca="false">IF(R59&gt;0,Исходные!$C$39/1000,0)</f>
        <v>0.04</v>
      </c>
      <c r="S64" s="54" t="n">
        <f aca="false">IF(S59&gt;0,Исходные!$C$39/1000,0)</f>
        <v>0.04</v>
      </c>
      <c r="T64" s="54" t="n">
        <f aca="false">IF(T59&gt;0,Исходные!$C$39/1000,0)</f>
        <v>0.04</v>
      </c>
      <c r="U64" s="54" t="n">
        <f aca="false">IF(U59&gt;0,Исходные!$C$39/1000,0)</f>
        <v>0.04</v>
      </c>
      <c r="V64" s="54" t="n">
        <f aca="false">IF(V59&gt;0,Исходные!$C$39/1000,0)</f>
        <v>0.04</v>
      </c>
      <c r="W64" s="54" t="n">
        <f aca="false">IF(W59&gt;0,Исходные!$C$39/1000,0)</f>
        <v>0.04</v>
      </c>
      <c r="X64" s="54" t="n">
        <f aca="false">IF(X59&gt;0,Исходные!$C$39/1000,0)</f>
        <v>0.04</v>
      </c>
      <c r="Y64" s="54" t="n">
        <f aca="false">IF(Y59&gt;0,Исходные!$C$39/1000,0)</f>
        <v>0.04</v>
      </c>
      <c r="Z64" s="54" t="n">
        <f aca="false">IF(Z59&gt;0,Исходные!$C$39/1000,0)</f>
        <v>0.04</v>
      </c>
      <c r="AA64" s="54" t="n">
        <f aca="false">IF(AA59&gt;0,Исходные!$C$39/1000,0)</f>
        <v>0.04</v>
      </c>
      <c r="AB64" s="54" t="n">
        <f aca="false">IF(AB59&gt;0,Исходные!$C$39/1000,0)</f>
        <v>0.04</v>
      </c>
      <c r="AC64" s="54" t="n">
        <f aca="false">IF(AC59&gt;0,Исходные!$C$39/1000,0)</f>
        <v>0.04</v>
      </c>
      <c r="AD64" s="54" t="n">
        <f aca="false">IF(AD59&gt;0,Исходные!$C$39/1000,0)</f>
        <v>0.04</v>
      </c>
      <c r="AE64" s="54" t="n">
        <f aca="false">IF(AE59&gt;0,Исходные!$C$39/1000,0)</f>
        <v>0.04</v>
      </c>
      <c r="AF64" s="54" t="n">
        <f aca="false">IF(AF59&gt;0,Исходные!$C$39/1000,0)</f>
        <v>0.04</v>
      </c>
      <c r="AG64" s="54" t="n">
        <f aca="false">IF(AG59&gt;0,Исходные!$C$39/1000,0)</f>
        <v>0.04</v>
      </c>
      <c r="AH64" s="54" t="n">
        <f aca="false">IF(AH59&gt;0,Исходные!$C$39/1000,0)</f>
        <v>0.04</v>
      </c>
      <c r="AI64" s="54" t="n">
        <f aca="false">IF(AI59&gt;0,Исходные!$C$39/1000,0)</f>
        <v>0.04</v>
      </c>
      <c r="AJ64" s="54" t="n">
        <f aca="false">IF(AJ59&gt;0,Исходные!$C$39/1000,0)</f>
        <v>0.04</v>
      </c>
      <c r="AK64" s="54" t="n">
        <f aca="false">IF(AK59&gt;0,Исходные!$C$39/1000,0)</f>
        <v>0.04</v>
      </c>
      <c r="AL64" s="54" t="n">
        <f aca="false">IF(AL59&gt;0,Исходные!$C$39/1000,0)</f>
        <v>0.04</v>
      </c>
      <c r="AM64" s="54" t="n">
        <f aca="false">IF(AM59&gt;0,Исходные!$C$39/1000,0)</f>
        <v>0.04</v>
      </c>
      <c r="AN64" s="54" t="n">
        <f aca="false">IF(AN59&gt;0,Исходные!$C$39/1000,0)</f>
        <v>0.04</v>
      </c>
      <c r="AO64" s="54" t="n">
        <f aca="false">IF(AO59&gt;0,Исходные!$C$39/1000,0)</f>
        <v>0.04</v>
      </c>
      <c r="AP64" s="54" t="n">
        <f aca="false">IF(AP59&gt;0,Исходные!$C$39/1000,0)</f>
        <v>0.04</v>
      </c>
      <c r="AQ64" s="54" t="n">
        <f aca="false">IF(AQ59&gt;0,Исходные!$C$39/1000,0)</f>
        <v>0.04</v>
      </c>
      <c r="AR64" s="54" t="n">
        <f aca="false">IF(AR59&gt;0,Исходные!$C$39/1000,0)</f>
        <v>0.04</v>
      </c>
    </row>
    <row r="65" customFormat="false" ht="15" hidden="false" customHeight="false" outlineLevel="0" collapsed="false">
      <c r="B65" s="8" t="s">
        <v>370</v>
      </c>
      <c r="C65" s="8" t="s">
        <v>367</v>
      </c>
      <c r="D65" s="54" t="n">
        <f aca="false">SUM(E65:AR65)</f>
        <v>1.02</v>
      </c>
      <c r="E65" s="54" t="n">
        <f aca="false">IF(E59&gt;0,Исходные!$C$40/1000,0)</f>
        <v>0</v>
      </c>
      <c r="F65" s="54" t="n">
        <f aca="false">IF(F59&gt;0,Исходные!$C$40/1000,0)</f>
        <v>0</v>
      </c>
      <c r="G65" s="54" t="n">
        <f aca="false">IF(G59&gt;0,Исходные!$C$40/1000,0)</f>
        <v>0</v>
      </c>
      <c r="H65" s="54" t="n">
        <f aca="false">IF(H59&gt;0,Исходные!$C$40/1000,0)</f>
        <v>0</v>
      </c>
      <c r="I65" s="54" t="n">
        <f aca="false">IF(I59&gt;0,Исходные!$C$40/1000,0)</f>
        <v>0</v>
      </c>
      <c r="J65" s="54" t="n">
        <f aca="false">IF(J59&gt;0,Исходные!$C$40/1000,0)</f>
        <v>0</v>
      </c>
      <c r="K65" s="54" t="n">
        <f aca="false">IF(K59&gt;0,Исходные!$C$40/1000,0)</f>
        <v>0.03</v>
      </c>
      <c r="L65" s="54" t="n">
        <f aca="false">IF(L59&gt;0,Исходные!$C$40/1000,0)</f>
        <v>0.03</v>
      </c>
      <c r="M65" s="54" t="n">
        <f aca="false">IF(M59&gt;0,Исходные!$C$40/1000,0)</f>
        <v>0.03</v>
      </c>
      <c r="N65" s="54" t="n">
        <f aca="false">IF(N59&gt;0,Исходные!$C$40/1000,0)</f>
        <v>0.03</v>
      </c>
      <c r="O65" s="54" t="n">
        <f aca="false">IF(O59&gt;0,Исходные!$C$40/1000,0)</f>
        <v>0.03</v>
      </c>
      <c r="P65" s="54" t="n">
        <f aca="false">IF(P59&gt;0,Исходные!$C$40/1000,0)</f>
        <v>0.03</v>
      </c>
      <c r="Q65" s="54" t="n">
        <f aca="false">IF(Q59&gt;0,Исходные!$C$40/1000,0)</f>
        <v>0.03</v>
      </c>
      <c r="R65" s="54" t="n">
        <f aca="false">IF(R59&gt;0,Исходные!$C$40/1000,0)</f>
        <v>0.03</v>
      </c>
      <c r="S65" s="54" t="n">
        <f aca="false">IF(S59&gt;0,Исходные!$C$40/1000,0)</f>
        <v>0.03</v>
      </c>
      <c r="T65" s="54" t="n">
        <f aca="false">IF(T59&gt;0,Исходные!$C$40/1000,0)</f>
        <v>0.03</v>
      </c>
      <c r="U65" s="54" t="n">
        <f aca="false">IF(U59&gt;0,Исходные!$C$40/1000,0)</f>
        <v>0.03</v>
      </c>
      <c r="V65" s="54" t="n">
        <f aca="false">IF(V59&gt;0,Исходные!$C$40/1000,0)</f>
        <v>0.03</v>
      </c>
      <c r="W65" s="54" t="n">
        <f aca="false">IF(W59&gt;0,Исходные!$C$40/1000,0)</f>
        <v>0.03</v>
      </c>
      <c r="X65" s="54" t="n">
        <f aca="false">IF(X59&gt;0,Исходные!$C$40/1000,0)</f>
        <v>0.03</v>
      </c>
      <c r="Y65" s="54" t="n">
        <f aca="false">IF(Y59&gt;0,Исходные!$C$40/1000,0)</f>
        <v>0.03</v>
      </c>
      <c r="Z65" s="54" t="n">
        <f aca="false">IF(Z59&gt;0,Исходные!$C$40/1000,0)</f>
        <v>0.03</v>
      </c>
      <c r="AA65" s="54" t="n">
        <f aca="false">IF(AA59&gt;0,Исходные!$C$40/1000,0)</f>
        <v>0.03</v>
      </c>
      <c r="AB65" s="54" t="n">
        <f aca="false">IF(AB59&gt;0,Исходные!$C$40/1000,0)</f>
        <v>0.03</v>
      </c>
      <c r="AC65" s="54" t="n">
        <f aca="false">IF(AC59&gt;0,Исходные!$C$40/1000,0)</f>
        <v>0.03</v>
      </c>
      <c r="AD65" s="54" t="n">
        <f aca="false">IF(AD59&gt;0,Исходные!$C$40/1000,0)</f>
        <v>0.03</v>
      </c>
      <c r="AE65" s="54" t="n">
        <f aca="false">IF(AE59&gt;0,Исходные!$C$40/1000,0)</f>
        <v>0.03</v>
      </c>
      <c r="AF65" s="54" t="n">
        <f aca="false">IF(AF59&gt;0,Исходные!$C$40/1000,0)</f>
        <v>0.03</v>
      </c>
      <c r="AG65" s="54" t="n">
        <f aca="false">IF(AG59&gt;0,Исходные!$C$40/1000,0)</f>
        <v>0.03</v>
      </c>
      <c r="AH65" s="54" t="n">
        <f aca="false">IF(AH59&gt;0,Исходные!$C$40/1000,0)</f>
        <v>0.03</v>
      </c>
      <c r="AI65" s="54" t="n">
        <f aca="false">IF(AI59&gt;0,Исходные!$C$40/1000,0)</f>
        <v>0.03</v>
      </c>
      <c r="AJ65" s="54" t="n">
        <f aca="false">IF(AJ59&gt;0,Исходные!$C$40/1000,0)</f>
        <v>0.03</v>
      </c>
      <c r="AK65" s="54" t="n">
        <f aca="false">IF(AK59&gt;0,Исходные!$C$40/1000,0)</f>
        <v>0.03</v>
      </c>
      <c r="AL65" s="54" t="n">
        <f aca="false">IF(AL59&gt;0,Исходные!$C$40/1000,0)</f>
        <v>0.03</v>
      </c>
      <c r="AM65" s="54" t="n">
        <f aca="false">IF(AM59&gt;0,Исходные!$C$40/1000,0)</f>
        <v>0.03</v>
      </c>
      <c r="AN65" s="54" t="n">
        <f aca="false">IF(AN59&gt;0,Исходные!$C$40/1000,0)</f>
        <v>0.03</v>
      </c>
      <c r="AO65" s="54" t="n">
        <f aca="false">IF(AO59&gt;0,Исходные!$C$40/1000,0)</f>
        <v>0.03</v>
      </c>
      <c r="AP65" s="54" t="n">
        <f aca="false">IF(AP59&gt;0,Исходные!$C$40/1000,0)</f>
        <v>0.03</v>
      </c>
      <c r="AQ65" s="54" t="n">
        <f aca="false">IF(AQ59&gt;0,Исходные!$C$40/1000,0)</f>
        <v>0.03</v>
      </c>
      <c r="AR65" s="54" t="n">
        <f aca="false">IF(AR59&gt;0,Исходные!$C$40/1000,0)</f>
        <v>0.03</v>
      </c>
    </row>
    <row r="66" customFormat="false" ht="15" hidden="false" customHeight="false" outlineLevel="0" collapsed="false">
      <c r="B66" s="8" t="s">
        <v>371</v>
      </c>
      <c r="C66" s="8" t="s">
        <v>367</v>
      </c>
      <c r="D66" s="54" t="n">
        <f aca="false">SUM(E66:AR66)</f>
        <v>0.221092896174863</v>
      </c>
      <c r="E66" s="54" t="n">
        <f aca="false">IF(E59&gt;0,$D$43-E64-E65,0)</f>
        <v>0</v>
      </c>
      <c r="F66" s="54" t="n">
        <f aca="false">IF(F59&gt;0,$D$43-F64-F65,0)</f>
        <v>0</v>
      </c>
      <c r="G66" s="54" t="n">
        <f aca="false">IF(G59&gt;0,$D$43-G64-G65,0)</f>
        <v>0</v>
      </c>
      <c r="H66" s="54" t="n">
        <f aca="false">IF(H59&gt;0,$D$43-H64-H65,0)</f>
        <v>0</v>
      </c>
      <c r="I66" s="54" t="n">
        <f aca="false">IF(I59&gt;0,$D$43-I64-I65,0)</f>
        <v>0</v>
      </c>
      <c r="J66" s="54" t="n">
        <f aca="false">IF(J59&gt;0,$D$43-J64-J65,0)</f>
        <v>0</v>
      </c>
      <c r="K66" s="54" t="n">
        <f aca="false">IF(K59&gt;0,$D$43-K64-K65,0)</f>
        <v>0.00650273224043716</v>
      </c>
      <c r="L66" s="54" t="n">
        <f aca="false">IF(L59&gt;0,$D$43-L64-L65,0)</f>
        <v>0.00650273224043716</v>
      </c>
      <c r="M66" s="54" t="n">
        <f aca="false">IF(M59&gt;0,$D$43-M64-M65,0)</f>
        <v>0.00650273224043716</v>
      </c>
      <c r="N66" s="54" t="n">
        <f aca="false">IF(N59&gt;0,$D$43-N64-N65,0)</f>
        <v>0.00650273224043716</v>
      </c>
      <c r="O66" s="54" t="n">
        <f aca="false">IF(O59&gt;0,$D$43-O64-O65,0)</f>
        <v>0.00650273224043716</v>
      </c>
      <c r="P66" s="54" t="n">
        <f aca="false">IF(P59&gt;0,$D$43-P64-P65,0)</f>
        <v>0.00650273224043716</v>
      </c>
      <c r="Q66" s="54" t="n">
        <f aca="false">IF(Q59&gt;0,$D$43-Q64-Q65,0)</f>
        <v>0.00650273224043716</v>
      </c>
      <c r="R66" s="54" t="n">
        <f aca="false">IF(R59&gt;0,$D$43-R64-R65,0)</f>
        <v>0.00650273224043716</v>
      </c>
      <c r="S66" s="54" t="n">
        <f aca="false">IF(S59&gt;0,$D$43-S64-S65,0)</f>
        <v>0.00650273224043716</v>
      </c>
      <c r="T66" s="54" t="n">
        <f aca="false">IF(T59&gt;0,$D$43-T64-T65,0)</f>
        <v>0.00650273224043716</v>
      </c>
      <c r="U66" s="54" t="n">
        <f aca="false">IF(U59&gt;0,$D$43-U64-U65,0)</f>
        <v>0.00650273224043716</v>
      </c>
      <c r="V66" s="54" t="n">
        <f aca="false">IF(V59&gt;0,$D$43-V64-V65,0)</f>
        <v>0.00650273224043716</v>
      </c>
      <c r="W66" s="54" t="n">
        <f aca="false">IF(W59&gt;0,$D$43-W64-W65,0)</f>
        <v>0.00650273224043716</v>
      </c>
      <c r="X66" s="54" t="n">
        <f aca="false">IF(X59&gt;0,$D$43-X64-X65,0)</f>
        <v>0.00650273224043716</v>
      </c>
      <c r="Y66" s="54" t="n">
        <f aca="false">IF(Y59&gt;0,$D$43-Y64-Y65,0)</f>
        <v>0.00650273224043716</v>
      </c>
      <c r="Z66" s="54" t="n">
        <f aca="false">IF(Z59&gt;0,$D$43-Z64-Z65,0)</f>
        <v>0.00650273224043716</v>
      </c>
      <c r="AA66" s="54" t="n">
        <f aca="false">IF(AA59&gt;0,$D$43-AA64-AA65,0)</f>
        <v>0.00650273224043716</v>
      </c>
      <c r="AB66" s="54" t="n">
        <f aca="false">IF(AB59&gt;0,$D$43-AB64-AB65,0)</f>
        <v>0.00650273224043716</v>
      </c>
      <c r="AC66" s="54" t="n">
        <f aca="false">IF(AC59&gt;0,$D$43-AC64-AC65,0)</f>
        <v>0.00650273224043716</v>
      </c>
      <c r="AD66" s="54" t="n">
        <f aca="false">IF(AD59&gt;0,$D$43-AD64-AD65,0)</f>
        <v>0.00650273224043716</v>
      </c>
      <c r="AE66" s="54" t="n">
        <f aca="false">IF(AE59&gt;0,$D$43-AE64-AE65,0)</f>
        <v>0.00650273224043716</v>
      </c>
      <c r="AF66" s="54" t="n">
        <f aca="false">IF(AF59&gt;0,$D$43-AF64-AF65,0)</f>
        <v>0.00650273224043716</v>
      </c>
      <c r="AG66" s="54" t="n">
        <f aca="false">IF(AG59&gt;0,$D$43-AG64-AG65,0)</f>
        <v>0.00650273224043716</v>
      </c>
      <c r="AH66" s="54" t="n">
        <f aca="false">IF(AH59&gt;0,$D$43-AH64-AH65,0)</f>
        <v>0.00650273224043716</v>
      </c>
      <c r="AI66" s="54" t="n">
        <f aca="false">IF(AI59&gt;0,$D$43-AI64-AI65,0)</f>
        <v>0.00650273224043716</v>
      </c>
      <c r="AJ66" s="54" t="n">
        <f aca="false">IF(AJ59&gt;0,$D$43-AJ64-AJ65,0)</f>
        <v>0.00650273224043716</v>
      </c>
      <c r="AK66" s="54" t="n">
        <f aca="false">IF(AK59&gt;0,$D$43-AK64-AK65,0)</f>
        <v>0.00650273224043716</v>
      </c>
      <c r="AL66" s="54" t="n">
        <f aca="false">IF(AL59&gt;0,$D$43-AL64-AL65,0)</f>
        <v>0.00650273224043716</v>
      </c>
      <c r="AM66" s="54" t="n">
        <f aca="false">IF(AM59&gt;0,$D$43-AM64-AM65,0)</f>
        <v>0.00650273224043716</v>
      </c>
      <c r="AN66" s="54" t="n">
        <f aca="false">IF(AN59&gt;0,$D$43-AN64-AN65,0)</f>
        <v>0.00650273224043716</v>
      </c>
      <c r="AO66" s="54" t="n">
        <f aca="false">IF(AO59&gt;0,$D$43-AO64-AO65,0)</f>
        <v>0.00650273224043716</v>
      </c>
      <c r="AP66" s="54" t="n">
        <f aca="false">IF(AP59&gt;0,$D$43-AP64-AP65,0)</f>
        <v>0.00650273224043716</v>
      </c>
      <c r="AQ66" s="54" t="n">
        <f aca="false">IF(AQ59&gt;0,$D$43-AQ64-AQ65,0)</f>
        <v>0.00650273224043716</v>
      </c>
      <c r="AR66" s="54" t="n">
        <f aca="false">IF(AR59&gt;0,$D$43-AR64-AR65,0)</f>
        <v>0.00650273224043716</v>
      </c>
    </row>
    <row r="67" customFormat="false" ht="15" hidden="false" customHeight="false" outlineLevel="0" collapsed="false">
      <c r="B67" s="42" t="s">
        <v>372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customFormat="false" ht="15" hidden="false" customHeight="false" outlineLevel="0" collapsed="false">
      <c r="B68" s="8" t="s">
        <v>373</v>
      </c>
      <c r="C68" s="8" t="s">
        <v>270</v>
      </c>
      <c r="D68" s="15" t="n">
        <f aca="false">SUM(E68:AR68)</f>
        <v>1337.96209485499</v>
      </c>
      <c r="E68" s="15" t="n">
        <f aca="false">E60*$D$39/1000</f>
        <v>0</v>
      </c>
      <c r="F68" s="15" t="n">
        <f aca="false">F60*$D$39/1000</f>
        <v>0</v>
      </c>
      <c r="G68" s="15" t="n">
        <f aca="false">G60*$D$39/1000</f>
        <v>0</v>
      </c>
      <c r="H68" s="15" t="n">
        <f aca="false">H60*$D$39/1000</f>
        <v>0</v>
      </c>
      <c r="I68" s="15" t="n">
        <f aca="false">I60*$D$39/1000</f>
        <v>21.5930689849021</v>
      </c>
      <c r="J68" s="15" t="n">
        <f aca="false">J60*$D$39/1000</f>
        <v>43.1861379698041</v>
      </c>
      <c r="K68" s="15" t="n">
        <f aca="false">K60*$D$39/1000</f>
        <v>59.4900550378332</v>
      </c>
      <c r="L68" s="15" t="n">
        <f aca="false">L60*$D$39/1000</f>
        <v>59.4900550378332</v>
      </c>
      <c r="M68" s="15" t="n">
        <f aca="false">M60*$D$39/1000</f>
        <v>59.4900550378332</v>
      </c>
      <c r="N68" s="15" t="n">
        <f aca="false">N60*$D$39/1000</f>
        <v>59.4900550378332</v>
      </c>
      <c r="O68" s="15" t="n">
        <f aca="false">O60*$D$39/1000</f>
        <v>59.4900550378332</v>
      </c>
      <c r="P68" s="15" t="n">
        <f aca="false">P60*$D$39/1000</f>
        <v>58.5646377956231</v>
      </c>
      <c r="Q68" s="15" t="n">
        <f aca="false">Q60*$D$39/1000</f>
        <v>58.5646377956231</v>
      </c>
      <c r="R68" s="15" t="n">
        <f aca="false">R60*$D$39/1000</f>
        <v>58.5646377956231</v>
      </c>
      <c r="S68" s="15" t="n">
        <f aca="false">S60*$D$39/1000</f>
        <v>58.5646377956231</v>
      </c>
      <c r="T68" s="15" t="n">
        <f aca="false">T60*$D$39/1000</f>
        <v>58.5646377956231</v>
      </c>
      <c r="U68" s="15" t="n">
        <f aca="false">U60*$D$39/1000</f>
        <v>58.5646377956231</v>
      </c>
      <c r="V68" s="15" t="n">
        <f aca="false">V60*$D$39/1000</f>
        <v>54.4425231923337</v>
      </c>
      <c r="W68" s="15" t="n">
        <f aca="false">W60*$D$39/1000</f>
        <v>50.605816812693</v>
      </c>
      <c r="X68" s="15" t="n">
        <f aca="false">X60*$D$39/1000</f>
        <v>47.0347574753738</v>
      </c>
      <c r="Y68" s="15" t="n">
        <f aca="false">Y60*$D$39/1000</f>
        <v>43.7109522297274</v>
      </c>
      <c r="Z68" s="15" t="n">
        <f aca="false">Z60*$D$39/1000</f>
        <v>40.6172816218121</v>
      </c>
      <c r="AA68" s="15" t="n">
        <f aca="false">AA60*$D$39/1000</f>
        <v>37.7378115196406</v>
      </c>
      <c r="AB68" s="15" t="n">
        <f aca="false">AB60*$D$39/1000</f>
        <v>35.057711043499</v>
      </c>
      <c r="AC68" s="15" t="n">
        <f aca="false">AC60*$D$39/1000</f>
        <v>32.56317617863</v>
      </c>
      <c r="AD68" s="15" t="n">
        <f aca="false">AD60*$D$39/1000</f>
        <v>30.2413586768454</v>
      </c>
      <c r="AE68" s="15" t="n">
        <f aca="false">AE60*$D$39/1000</f>
        <v>28.0802998808696</v>
      </c>
      <c r="AF68" s="15" t="n">
        <f aca="false">AF60*$D$39/1000</f>
        <v>26.0688691305738</v>
      </c>
      <c r="AG68" s="15" t="n">
        <f aca="false">AG60*$D$39/1000</f>
        <v>24.1967064338581</v>
      </c>
      <c r="AH68" s="15" t="n">
        <f aca="false">AH60*$D$39/1000</f>
        <v>22.454169106904</v>
      </c>
      <c r="AI68" s="15" t="n">
        <f aca="false">AI60*$D$39/1000</f>
        <v>20.8322821089655</v>
      </c>
      <c r="AJ68" s="15" t="n">
        <f aca="false">AJ60*$D$39/1000</f>
        <v>19.3226918158956</v>
      </c>
      <c r="AK68" s="15" t="n">
        <f aca="false">AK60*$D$39/1000</f>
        <v>17.9176229943148</v>
      </c>
      <c r="AL68" s="15" t="n">
        <f aca="false">AL60*$D$39/1000</f>
        <v>16.6098387548151</v>
      </c>
      <c r="AM68" s="15" t="n">
        <f aca="false">AM60*$D$39/1000</f>
        <v>15.3926032779367</v>
      </c>
      <c r="AN68" s="15" t="n">
        <f aca="false">AN60*$D$39/1000</f>
        <v>14.2596471209347</v>
      </c>
      <c r="AO68" s="15" t="n">
        <f aca="false">AO60*$D$39/1000</f>
        <v>13.2051349266463</v>
      </c>
      <c r="AP68" s="15" t="n">
        <f aca="false">AP60*$D$39/1000</f>
        <v>12.2236353681413</v>
      </c>
      <c r="AQ68" s="15" t="n">
        <f aca="false">AQ60*$D$39/1000</f>
        <v>11.3100931743543</v>
      </c>
      <c r="AR68" s="15" t="n">
        <f aca="false">AR60*$D$39/1000</f>
        <v>10.459803092614</v>
      </c>
    </row>
    <row r="69" customFormat="false" ht="15" hidden="false" customHeight="false" outlineLevel="0" collapsed="false">
      <c r="B69" s="8" t="s">
        <v>374</v>
      </c>
      <c r="C69" s="8" t="s">
        <v>270</v>
      </c>
      <c r="D69" s="15" t="n">
        <f aca="false">SUM(E69:AR69)</f>
        <v>420.23321041619</v>
      </c>
      <c r="E69" s="15" t="n">
        <f aca="false">(E61+E66)*$D$40/1000</f>
        <v>0</v>
      </c>
      <c r="F69" s="15" t="n">
        <f aca="false">(F61+F66)*$D$40/1000</f>
        <v>0</v>
      </c>
      <c r="G69" s="15" t="n">
        <f aca="false">(G61+G66)*$D$40/1000</f>
        <v>0</v>
      </c>
      <c r="H69" s="15" t="n">
        <f aca="false">(H61+H66)*$D$40/1000</f>
        <v>0</v>
      </c>
      <c r="I69" s="15" t="n">
        <f aca="false">(I61+I66)*$D$40/1000</f>
        <v>6.48865493513433</v>
      </c>
      <c r="J69" s="15" t="n">
        <f aca="false">(J61+J66)*$D$40/1000</f>
        <v>12.9773098702687</v>
      </c>
      <c r="K69" s="15" t="n">
        <f aca="false">(K61+K66)*$D$40/1000</f>
        <v>18.4112799385947</v>
      </c>
      <c r="L69" s="15" t="n">
        <f aca="false">(L61+L66)*$D$40/1000</f>
        <v>18.4112799385947</v>
      </c>
      <c r="M69" s="15" t="n">
        <f aca="false">(M61+M66)*$D$40/1000</f>
        <v>18.4112799385947</v>
      </c>
      <c r="N69" s="15" t="n">
        <f aca="false">(N61+N66)*$D$40/1000</f>
        <v>18.4112799385947</v>
      </c>
      <c r="O69" s="15" t="n">
        <f aca="false">(O61+O66)*$D$40/1000</f>
        <v>18.4112799385947</v>
      </c>
      <c r="P69" s="15" t="n">
        <f aca="false">(P61+P66)*$D$40/1000</f>
        <v>18.1331947270889</v>
      </c>
      <c r="Q69" s="15" t="n">
        <f aca="false">(Q61+Q66)*$D$40/1000</f>
        <v>18.1331947270889</v>
      </c>
      <c r="R69" s="15" t="n">
        <f aca="false">(R61+R66)*$D$40/1000</f>
        <v>18.1331947270889</v>
      </c>
      <c r="S69" s="15" t="n">
        <f aca="false">(S61+S66)*$D$40/1000</f>
        <v>18.1331947270889</v>
      </c>
      <c r="T69" s="15" t="n">
        <f aca="false">(T61+T66)*$D$40/1000</f>
        <v>18.1331947270889</v>
      </c>
      <c r="U69" s="15" t="n">
        <f aca="false">(U61+U66)*$D$40/1000</f>
        <v>18.1331947270889</v>
      </c>
      <c r="V69" s="15" t="n">
        <f aca="false">(V61+V66)*$D$40/1000</f>
        <v>16.8945111808768</v>
      </c>
      <c r="W69" s="15" t="n">
        <f aca="false">(W61+W66)*$D$40/1000</f>
        <v>15.7415919824838</v>
      </c>
      <c r="X69" s="15" t="n">
        <f aca="false">(X61+X66)*$D$40/1000</f>
        <v>14.6684989539312</v>
      </c>
      <c r="Y69" s="15" t="n">
        <f aca="false">(Y61+Y66)*$D$40/1000</f>
        <v>13.6697050666117</v>
      </c>
      <c r="Z69" s="15" t="n">
        <f aca="false">(Z61+Z66)*$D$40/1000</f>
        <v>12.7400659740045</v>
      </c>
      <c r="AA69" s="15" t="n">
        <f aca="false">(AA61+AA66)*$D$40/1000</f>
        <v>11.8747935154165</v>
      </c>
      <c r="AB69" s="15" t="n">
        <f aca="false">(AB61+AB66)*$D$40/1000</f>
        <v>11.0694310542799</v>
      </c>
      <c r="AC69" s="15" t="n">
        <f aca="false">(AC61+AC66)*$D$40/1000</f>
        <v>10.3198305239841</v>
      </c>
      <c r="AD69" s="15" t="n">
        <f aca="false">(AD61+AD66)*$D$40/1000</f>
        <v>9.62213106301491</v>
      </c>
      <c r="AE69" s="15" t="n">
        <f aca="false">(AE61+AE66)*$D$40/1000</f>
        <v>8.97273912936118</v>
      </c>
      <c r="AF69" s="15" t="n">
        <f aca="false">(AF61+AF66)*$D$40/1000</f>
        <v>8.36830999176554</v>
      </c>
      <c r="AG69" s="15" t="n">
        <f aca="false">(AG61+AG66)*$D$40/1000</f>
        <v>7.80573050248996</v>
      </c>
      <c r="AH69" s="15" t="n">
        <f aca="false">(AH61+AH66)*$D$40/1000</f>
        <v>7.28210306286557</v>
      </c>
      <c r="AI69" s="15" t="n">
        <f aca="false">(AI61+AI66)*$D$40/1000</f>
        <v>6.79473069904077</v>
      </c>
      <c r="AJ69" s="15" t="n">
        <f aca="false">(AJ61+AJ66)*$D$40/1000</f>
        <v>6.34110317105911</v>
      </c>
      <c r="AK69" s="15" t="n">
        <f aca="false">(AK61+AK66)*$D$40/1000</f>
        <v>5.91888404372115</v>
      </c>
      <c r="AL69" s="15" t="n">
        <f aca="false">(AL61+AL66)*$D$40/1000</f>
        <v>5.52589865263783</v>
      </c>
      <c r="AM69" s="15" t="n">
        <f aca="false">(AM61+AM66)*$D$40/1000</f>
        <v>5.16012290349397</v>
      </c>
      <c r="AN69" s="15" t="n">
        <f aca="false">(AN61+AN66)*$D$40/1000</f>
        <v>4.81967284683172</v>
      </c>
      <c r="AO69" s="15" t="n">
        <f aca="false">(AO61+AO66)*$D$40/1000</f>
        <v>4.50279497465834</v>
      </c>
      <c r="AP69" s="15" t="n">
        <f aca="false">(AP61+AP66)*$D$40/1000</f>
        <v>4.20785718890041</v>
      </c>
      <c r="AQ69" s="15" t="n">
        <f aca="false">(AQ61+AQ66)*$D$40/1000</f>
        <v>3.93334039518691</v>
      </c>
      <c r="AR69" s="15" t="n">
        <f aca="false">(AR61+AR66)*$D$40/1000</f>
        <v>3.67783067866456</v>
      </c>
    </row>
    <row r="70" customFormat="false" ht="15" hidden="false" customHeight="false" outlineLevel="0" collapsed="false">
      <c r="B70" s="8" t="s">
        <v>375</v>
      </c>
      <c r="C70" s="8" t="s">
        <v>270</v>
      </c>
      <c r="D70" s="15" t="n">
        <f aca="false">SUM(E70:AR70)</f>
        <v>0</v>
      </c>
      <c r="E70" s="15" t="n">
        <f aca="false">E62*Исходные!$C$19/1000+E63*Исходные!$C$20/1000</f>
        <v>0</v>
      </c>
      <c r="F70" s="15" t="n">
        <f aca="false">F62*Исходные!$C$19/1000+F63*Исходные!$C$20/1000</f>
        <v>0</v>
      </c>
      <c r="G70" s="15" t="n">
        <f aca="false">G62*Исходные!$C$19/1000+G63*Исходные!$C$20/1000</f>
        <v>0</v>
      </c>
      <c r="H70" s="15" t="n">
        <f aca="false">H62*Исходные!$C$19/1000+H63*Исходные!$C$20/1000</f>
        <v>0</v>
      </c>
      <c r="I70" s="15" t="n">
        <f aca="false">I62*Исходные!$C$19/1000+I63*Исходные!$C$20/1000</f>
        <v>0</v>
      </c>
      <c r="J70" s="15" t="n">
        <f aca="false">J62*Исходные!$C$19/1000+J63*Исходные!$C$20/1000</f>
        <v>0</v>
      </c>
      <c r="K70" s="15" t="n">
        <f aca="false">K62*Исходные!$C$19/1000+K63*Исходные!$C$20/1000</f>
        <v>0</v>
      </c>
      <c r="L70" s="15" t="n">
        <f aca="false">L62*Исходные!$C$19/1000+L63*Исходные!$C$20/1000</f>
        <v>0</v>
      </c>
      <c r="M70" s="15" t="n">
        <f aca="false">M62*Исходные!$C$19/1000+M63*Исходные!$C$20/1000</f>
        <v>0</v>
      </c>
      <c r="N70" s="15" t="n">
        <f aca="false">N62*Исходные!$C$19/1000+N63*Исходные!$C$20/1000</f>
        <v>0</v>
      </c>
      <c r="O70" s="15" t="n">
        <f aca="false">O62*Исходные!$C$19/1000+O63*Исходные!$C$20/1000</f>
        <v>0</v>
      </c>
      <c r="P70" s="15" t="n">
        <f aca="false">P62*Исходные!$C$19/1000+P63*Исходные!$C$20/1000</f>
        <v>0</v>
      </c>
      <c r="Q70" s="15" t="n">
        <f aca="false">Q62*Исходные!$C$19/1000+Q63*Исходные!$C$20/1000</f>
        <v>0</v>
      </c>
      <c r="R70" s="15" t="n">
        <f aca="false">R62*Исходные!$C$19/1000+R63*Исходные!$C$20/1000</f>
        <v>0</v>
      </c>
      <c r="S70" s="15" t="n">
        <f aca="false">S62*Исходные!$C$19/1000+S63*Исходные!$C$20/1000</f>
        <v>0</v>
      </c>
      <c r="T70" s="15" t="n">
        <f aca="false">T62*Исходные!$C$19/1000+T63*Исходные!$C$20/1000</f>
        <v>0</v>
      </c>
      <c r="U70" s="15" t="n">
        <f aca="false">U62*Исходные!$C$19/1000+U63*Исходные!$C$20/1000</f>
        <v>0</v>
      </c>
      <c r="V70" s="15" t="n">
        <f aca="false">V62*Исходные!$C$19/1000+V63*Исходные!$C$20/1000</f>
        <v>0</v>
      </c>
      <c r="W70" s="15" t="n">
        <f aca="false">W62*Исходные!$C$19/1000+W63*Исходные!$C$20/1000</f>
        <v>0</v>
      </c>
      <c r="X70" s="15" t="n">
        <f aca="false">X62*Исходные!$C$19/1000+X63*Исходные!$C$20/1000</f>
        <v>0</v>
      </c>
      <c r="Y70" s="15" t="n">
        <f aca="false">Y62*Исходные!$C$19/1000+Y63*Исходные!$C$20/1000</f>
        <v>0</v>
      </c>
      <c r="Z70" s="15" t="n">
        <f aca="false">Z62*Исходные!$C$19/1000+Z63*Исходные!$C$20/1000</f>
        <v>0</v>
      </c>
      <c r="AA70" s="15" t="n">
        <f aca="false">AA62*Исходные!$C$19/1000+AA63*Исходные!$C$20/1000</f>
        <v>0</v>
      </c>
      <c r="AB70" s="15" t="n">
        <f aca="false">AB62*Исходные!$C$19/1000+AB63*Исходные!$C$20/1000</f>
        <v>0</v>
      </c>
      <c r="AC70" s="15" t="n">
        <f aca="false">AC62*Исходные!$C$19/1000+AC63*Исходные!$C$20/1000</f>
        <v>0</v>
      </c>
      <c r="AD70" s="15" t="n">
        <f aca="false">AD62*Исходные!$C$19/1000+AD63*Исходные!$C$20/1000</f>
        <v>0</v>
      </c>
      <c r="AE70" s="15" t="n">
        <f aca="false">AE62*Исходные!$C$19/1000+AE63*Исходные!$C$20/1000</f>
        <v>0</v>
      </c>
      <c r="AF70" s="15" t="n">
        <f aca="false">AF62*Исходные!$C$19/1000+AF63*Исходные!$C$20/1000</f>
        <v>0</v>
      </c>
      <c r="AG70" s="15" t="n">
        <f aca="false">AG62*Исходные!$C$19/1000+AG63*Исходные!$C$20/1000</f>
        <v>0</v>
      </c>
      <c r="AH70" s="15" t="n">
        <f aca="false">AH62*Исходные!$C$19/1000+AH63*Исходные!$C$20/1000</f>
        <v>0</v>
      </c>
      <c r="AI70" s="15" t="n">
        <f aca="false">AI62*Исходные!$C$19/1000+AI63*Исходные!$C$20/1000</f>
        <v>0</v>
      </c>
      <c r="AJ70" s="15" t="n">
        <f aca="false">AJ62*Исходные!$C$19/1000+AJ63*Исходные!$C$20/1000</f>
        <v>0</v>
      </c>
      <c r="AK70" s="15" t="n">
        <f aca="false">AK62*Исходные!$C$19/1000+AK63*Исходные!$C$20/1000</f>
        <v>0</v>
      </c>
      <c r="AL70" s="15" t="n">
        <f aca="false">AL62*Исходные!$C$19/1000+AL63*Исходные!$C$20/1000</f>
        <v>0</v>
      </c>
      <c r="AM70" s="15" t="n">
        <f aca="false">AM62*Исходные!$C$19/1000+AM63*Исходные!$C$20/1000</f>
        <v>0</v>
      </c>
      <c r="AN70" s="15" t="n">
        <f aca="false">AN62*Исходные!$C$19/1000+AN63*Исходные!$C$20/1000</f>
        <v>0</v>
      </c>
      <c r="AO70" s="15" t="n">
        <f aca="false">AO62*Исходные!$C$19/1000+AO63*Исходные!$C$20/1000</f>
        <v>0</v>
      </c>
      <c r="AP70" s="15" t="n">
        <f aca="false">AP62*Исходные!$C$19/1000+AP63*Исходные!$C$20/1000</f>
        <v>0</v>
      </c>
      <c r="AQ70" s="15" t="n">
        <f aca="false">AQ62*Исходные!$C$19/1000+AQ63*Исходные!$C$20/1000</f>
        <v>0</v>
      </c>
      <c r="AR70" s="15" t="n">
        <f aca="false">AR62*Исходные!$C$19/1000+AR63*Исходные!$C$20/1000</f>
        <v>0</v>
      </c>
    </row>
    <row r="71" customFormat="false" ht="15" hidden="false" customHeight="false" outlineLevel="0" collapsed="false">
      <c r="B71" s="8" t="s">
        <v>376</v>
      </c>
      <c r="C71" s="8" t="s">
        <v>270</v>
      </c>
      <c r="D71" s="15" t="n">
        <f aca="false">SUM(E71:AR71)</f>
        <v>76.296</v>
      </c>
      <c r="E71" s="15" t="n">
        <f aca="false">E64*$D$23/1000</f>
        <v>0</v>
      </c>
      <c r="F71" s="15" t="n">
        <f aca="false">F64*$D$23/1000</f>
        <v>0</v>
      </c>
      <c r="G71" s="15" t="n">
        <f aca="false">G64*$D$23/1000</f>
        <v>0</v>
      </c>
      <c r="H71" s="15" t="n">
        <f aca="false">H64*$D$23/1000</f>
        <v>0</v>
      </c>
      <c r="I71" s="15" t="n">
        <f aca="false">I64*$D$23/1000</f>
        <v>0</v>
      </c>
      <c r="J71" s="15" t="n">
        <f aca="false">J64*$D$23/1000</f>
        <v>0</v>
      </c>
      <c r="K71" s="15" t="n">
        <f aca="false">K64*$D$23/1000</f>
        <v>2.244</v>
      </c>
      <c r="L71" s="15" t="n">
        <f aca="false">L64*$D$23/1000</f>
        <v>2.244</v>
      </c>
      <c r="M71" s="15" t="n">
        <f aca="false">M64*$D$23/1000</f>
        <v>2.244</v>
      </c>
      <c r="N71" s="15" t="n">
        <f aca="false">N64*$D$23/1000</f>
        <v>2.244</v>
      </c>
      <c r="O71" s="15" t="n">
        <f aca="false">O64*$D$23/1000</f>
        <v>2.244</v>
      </c>
      <c r="P71" s="15" t="n">
        <f aca="false">P64*$D$23/1000</f>
        <v>2.244</v>
      </c>
      <c r="Q71" s="15" t="n">
        <f aca="false">Q64*$D$23/1000</f>
        <v>2.244</v>
      </c>
      <c r="R71" s="15" t="n">
        <f aca="false">R64*$D$23/1000</f>
        <v>2.244</v>
      </c>
      <c r="S71" s="15" t="n">
        <f aca="false">S64*$D$23/1000</f>
        <v>2.244</v>
      </c>
      <c r="T71" s="15" t="n">
        <f aca="false">T64*$D$23/1000</f>
        <v>2.244</v>
      </c>
      <c r="U71" s="15" t="n">
        <f aca="false">U64*$D$23/1000</f>
        <v>2.244</v>
      </c>
      <c r="V71" s="15" t="n">
        <f aca="false">V64*$D$23/1000</f>
        <v>2.244</v>
      </c>
      <c r="W71" s="15" t="n">
        <f aca="false">W64*$D$23/1000</f>
        <v>2.244</v>
      </c>
      <c r="X71" s="15" t="n">
        <f aca="false">X64*$D$23/1000</f>
        <v>2.244</v>
      </c>
      <c r="Y71" s="15" t="n">
        <f aca="false">Y64*$D$23/1000</f>
        <v>2.244</v>
      </c>
      <c r="Z71" s="15" t="n">
        <f aca="false">Z64*$D$23/1000</f>
        <v>2.244</v>
      </c>
      <c r="AA71" s="15" t="n">
        <f aca="false">AA64*$D$23/1000</f>
        <v>2.244</v>
      </c>
      <c r="AB71" s="15" t="n">
        <f aca="false">AB64*$D$23/1000</f>
        <v>2.244</v>
      </c>
      <c r="AC71" s="15" t="n">
        <f aca="false">AC64*$D$23/1000</f>
        <v>2.244</v>
      </c>
      <c r="AD71" s="15" t="n">
        <f aca="false">AD64*$D$23/1000</f>
        <v>2.244</v>
      </c>
      <c r="AE71" s="15" t="n">
        <f aca="false">AE64*$D$23/1000</f>
        <v>2.244</v>
      </c>
      <c r="AF71" s="15" t="n">
        <f aca="false">AF64*$D$23/1000</f>
        <v>2.244</v>
      </c>
      <c r="AG71" s="15" t="n">
        <f aca="false">AG64*$D$23/1000</f>
        <v>2.244</v>
      </c>
      <c r="AH71" s="15" t="n">
        <f aca="false">AH64*$D$23/1000</f>
        <v>2.244</v>
      </c>
      <c r="AI71" s="15" t="n">
        <f aca="false">AI64*$D$23/1000</f>
        <v>2.244</v>
      </c>
      <c r="AJ71" s="15" t="n">
        <f aca="false">AJ64*$D$23/1000</f>
        <v>2.244</v>
      </c>
      <c r="AK71" s="15" t="n">
        <f aca="false">AK64*$D$23/1000</f>
        <v>2.244</v>
      </c>
      <c r="AL71" s="15" t="n">
        <f aca="false">AL64*$D$23/1000</f>
        <v>2.244</v>
      </c>
      <c r="AM71" s="15" t="n">
        <f aca="false">AM64*$D$23/1000</f>
        <v>2.244</v>
      </c>
      <c r="AN71" s="15" t="n">
        <f aca="false">AN64*$D$23/1000</f>
        <v>2.244</v>
      </c>
      <c r="AO71" s="15" t="n">
        <f aca="false">AO64*$D$23/1000</f>
        <v>2.244</v>
      </c>
      <c r="AP71" s="15" t="n">
        <f aca="false">AP64*$D$23/1000</f>
        <v>2.244</v>
      </c>
      <c r="AQ71" s="15" t="n">
        <f aca="false">AQ64*$D$23/1000</f>
        <v>2.244</v>
      </c>
      <c r="AR71" s="15" t="n">
        <f aca="false">AR64*$D$23/1000</f>
        <v>2.244</v>
      </c>
    </row>
    <row r="72" customFormat="false" ht="15" hidden="false" customHeight="false" outlineLevel="0" collapsed="false">
      <c r="B72" s="8" t="s">
        <v>377</v>
      </c>
      <c r="C72" s="8" t="s">
        <v>270</v>
      </c>
      <c r="D72" s="15" t="n">
        <f aca="false">SUM(E72:AR72)</f>
        <v>65.79</v>
      </c>
      <c r="E72" s="15" t="n">
        <f aca="false">E65*$D$24/1000</f>
        <v>0</v>
      </c>
      <c r="F72" s="15" t="n">
        <f aca="false">F65*$D$24/1000</f>
        <v>0</v>
      </c>
      <c r="G72" s="15" t="n">
        <f aca="false">G65*$D$24/1000</f>
        <v>0</v>
      </c>
      <c r="H72" s="15" t="n">
        <f aca="false">H65*$D$24/1000</f>
        <v>0</v>
      </c>
      <c r="I72" s="15" t="n">
        <f aca="false">I65*$D$24/1000</f>
        <v>0</v>
      </c>
      <c r="J72" s="15" t="n">
        <f aca="false">J65*$D$24/1000</f>
        <v>0</v>
      </c>
      <c r="K72" s="15" t="n">
        <f aca="false">K65*$D$24/1000</f>
        <v>1.935</v>
      </c>
      <c r="L72" s="15" t="n">
        <f aca="false">L65*$D$24/1000</f>
        <v>1.935</v>
      </c>
      <c r="M72" s="15" t="n">
        <f aca="false">M65*$D$24/1000</f>
        <v>1.935</v>
      </c>
      <c r="N72" s="15" t="n">
        <f aca="false">N65*$D$24/1000</f>
        <v>1.935</v>
      </c>
      <c r="O72" s="15" t="n">
        <f aca="false">O65*$D$24/1000</f>
        <v>1.935</v>
      </c>
      <c r="P72" s="15" t="n">
        <f aca="false">P65*$D$24/1000</f>
        <v>1.935</v>
      </c>
      <c r="Q72" s="15" t="n">
        <f aca="false">Q65*$D$24/1000</f>
        <v>1.935</v>
      </c>
      <c r="R72" s="15" t="n">
        <f aca="false">R65*$D$24/1000</f>
        <v>1.935</v>
      </c>
      <c r="S72" s="15" t="n">
        <f aca="false">S65*$D$24/1000</f>
        <v>1.935</v>
      </c>
      <c r="T72" s="15" t="n">
        <f aca="false">T65*$D$24/1000</f>
        <v>1.935</v>
      </c>
      <c r="U72" s="15" t="n">
        <f aca="false">U65*$D$24/1000</f>
        <v>1.935</v>
      </c>
      <c r="V72" s="15" t="n">
        <f aca="false">V65*$D$24/1000</f>
        <v>1.935</v>
      </c>
      <c r="W72" s="15" t="n">
        <f aca="false">W65*$D$24/1000</f>
        <v>1.935</v>
      </c>
      <c r="X72" s="15" t="n">
        <f aca="false">X65*$D$24/1000</f>
        <v>1.935</v>
      </c>
      <c r="Y72" s="15" t="n">
        <f aca="false">Y65*$D$24/1000</f>
        <v>1.935</v>
      </c>
      <c r="Z72" s="15" t="n">
        <f aca="false">Z65*$D$24/1000</f>
        <v>1.935</v>
      </c>
      <c r="AA72" s="15" t="n">
        <f aca="false">AA65*$D$24/1000</f>
        <v>1.935</v>
      </c>
      <c r="AB72" s="15" t="n">
        <f aca="false">AB65*$D$24/1000</f>
        <v>1.935</v>
      </c>
      <c r="AC72" s="15" t="n">
        <f aca="false">AC65*$D$24/1000</f>
        <v>1.935</v>
      </c>
      <c r="AD72" s="15" t="n">
        <f aca="false">AD65*$D$24/1000</f>
        <v>1.935</v>
      </c>
      <c r="AE72" s="15" t="n">
        <f aca="false">AE65*$D$24/1000</f>
        <v>1.935</v>
      </c>
      <c r="AF72" s="15" t="n">
        <f aca="false">AF65*$D$24/1000</f>
        <v>1.935</v>
      </c>
      <c r="AG72" s="15" t="n">
        <f aca="false">AG65*$D$24/1000</f>
        <v>1.935</v>
      </c>
      <c r="AH72" s="15" t="n">
        <f aca="false">AH65*$D$24/1000</f>
        <v>1.935</v>
      </c>
      <c r="AI72" s="15" t="n">
        <f aca="false">AI65*$D$24/1000</f>
        <v>1.935</v>
      </c>
      <c r="AJ72" s="15" t="n">
        <f aca="false">AJ65*$D$24/1000</f>
        <v>1.935</v>
      </c>
      <c r="AK72" s="15" t="n">
        <f aca="false">AK65*$D$24/1000</f>
        <v>1.935</v>
      </c>
      <c r="AL72" s="15" t="n">
        <f aca="false">AL65*$D$24/1000</f>
        <v>1.935</v>
      </c>
      <c r="AM72" s="15" t="n">
        <f aca="false">AM65*$D$24/1000</f>
        <v>1.935</v>
      </c>
      <c r="AN72" s="15" t="n">
        <f aca="false">AN65*$D$24/1000</f>
        <v>1.935</v>
      </c>
      <c r="AO72" s="15" t="n">
        <f aca="false">AO65*$D$24/1000</f>
        <v>1.935</v>
      </c>
      <c r="AP72" s="15" t="n">
        <f aca="false">AP65*$D$24/1000</f>
        <v>1.935</v>
      </c>
      <c r="AQ72" s="15" t="n">
        <f aca="false">AQ65*$D$24/1000</f>
        <v>1.935</v>
      </c>
      <c r="AR72" s="15" t="n">
        <f aca="false">AR65*$D$24/1000</f>
        <v>1.935</v>
      </c>
    </row>
    <row r="73" customFormat="false" ht="15" hidden="false" customHeight="false" outlineLevel="0" collapsed="false">
      <c r="B73" s="3" t="s">
        <v>378</v>
      </c>
      <c r="C73" s="8" t="s">
        <v>270</v>
      </c>
      <c r="D73" s="15" t="n">
        <f aca="false">SUM(E73:AR73)</f>
        <v>1900.28130527118</v>
      </c>
      <c r="E73" s="15" t="n">
        <f aca="false">SUM(E68:E72)</f>
        <v>0</v>
      </c>
      <c r="F73" s="15" t="n">
        <f aca="false">SUM(F68:F72)</f>
        <v>0</v>
      </c>
      <c r="G73" s="15" t="n">
        <f aca="false">SUM(G68:G72)</f>
        <v>0</v>
      </c>
      <c r="H73" s="15" t="n">
        <f aca="false">SUM(H68:H72)</f>
        <v>0</v>
      </c>
      <c r="I73" s="15" t="n">
        <f aca="false">SUM(I68:I72)</f>
        <v>28.0817239200364</v>
      </c>
      <c r="J73" s="15" t="n">
        <f aca="false">SUM(J68:J72)</f>
        <v>56.1634478400728</v>
      </c>
      <c r="K73" s="15" t="n">
        <f aca="false">SUM(K68:K72)</f>
        <v>82.0803349764279</v>
      </c>
      <c r="L73" s="15" t="n">
        <f aca="false">SUM(L68:L72)</f>
        <v>82.0803349764279</v>
      </c>
      <c r="M73" s="15" t="n">
        <f aca="false">SUM(M68:M72)</f>
        <v>82.0803349764279</v>
      </c>
      <c r="N73" s="15" t="n">
        <f aca="false">SUM(N68:N72)</f>
        <v>82.0803349764279</v>
      </c>
      <c r="O73" s="15" t="n">
        <f aca="false">SUM(O68:O72)</f>
        <v>82.0803349764279</v>
      </c>
      <c r="P73" s="15" t="n">
        <f aca="false">SUM(P68:P72)</f>
        <v>80.876832522712</v>
      </c>
      <c r="Q73" s="15" t="n">
        <f aca="false">SUM(Q68:Q72)</f>
        <v>80.876832522712</v>
      </c>
      <c r="R73" s="15" t="n">
        <f aca="false">SUM(R68:R72)</f>
        <v>80.876832522712</v>
      </c>
      <c r="S73" s="15" t="n">
        <f aca="false">SUM(S68:S72)</f>
        <v>80.876832522712</v>
      </c>
      <c r="T73" s="15" t="n">
        <f aca="false">SUM(T68:T72)</f>
        <v>80.876832522712</v>
      </c>
      <c r="U73" s="15" t="n">
        <f aca="false">SUM(U68:U72)</f>
        <v>80.876832522712</v>
      </c>
      <c r="V73" s="15" t="n">
        <f aca="false">SUM(V68:V72)</f>
        <v>75.5160343732105</v>
      </c>
      <c r="W73" s="15" t="n">
        <f aca="false">SUM(W68:W72)</f>
        <v>70.5264087951768</v>
      </c>
      <c r="X73" s="15" t="n">
        <f aca="false">SUM(X68:X72)</f>
        <v>65.882256429305</v>
      </c>
      <c r="Y73" s="15" t="n">
        <f aca="false">SUM(Y68:Y72)</f>
        <v>61.5596572963391</v>
      </c>
      <c r="Z73" s="15" t="n">
        <f aca="false">SUM(Z68:Z72)</f>
        <v>57.5363475958166</v>
      </c>
      <c r="AA73" s="15" t="n">
        <f aca="false">SUM(AA68:AA72)</f>
        <v>53.7916050350571</v>
      </c>
      <c r="AB73" s="15" t="n">
        <f aca="false">SUM(AB68:AB72)</f>
        <v>50.3061420977789</v>
      </c>
      <c r="AC73" s="15" t="n">
        <f aca="false">SUM(AC68:AC72)</f>
        <v>47.0620067026141</v>
      </c>
      <c r="AD73" s="15" t="n">
        <f aca="false">SUM(AD68:AD72)</f>
        <v>44.0424897398603</v>
      </c>
      <c r="AE73" s="15" t="n">
        <f aca="false">SUM(AE68:AE72)</f>
        <v>41.2320390102307</v>
      </c>
      <c r="AF73" s="15" t="n">
        <f aca="false">SUM(AF68:AF72)</f>
        <v>38.6161791223394</v>
      </c>
      <c r="AG73" s="15" t="n">
        <f aca="false">SUM(AG68:AG72)</f>
        <v>36.1814369363481</v>
      </c>
      <c r="AH73" s="15" t="n">
        <f aca="false">SUM(AH68:AH72)</f>
        <v>33.9152721697695</v>
      </c>
      <c r="AI73" s="15" t="n">
        <f aca="false">SUM(AI68:AI72)</f>
        <v>31.8060128080062</v>
      </c>
      <c r="AJ73" s="15" t="n">
        <f aca="false">SUM(AJ68:AJ72)</f>
        <v>29.8427949869547</v>
      </c>
      <c r="AK73" s="15" t="n">
        <f aca="false">SUM(AK68:AK72)</f>
        <v>28.015507038036</v>
      </c>
      <c r="AL73" s="15" t="n">
        <f aca="false">SUM(AL68:AL72)</f>
        <v>26.3147374074529</v>
      </c>
      <c r="AM73" s="15" t="n">
        <f aca="false">SUM(AM68:AM72)</f>
        <v>24.7317261814306</v>
      </c>
      <c r="AN73" s="15" t="n">
        <f aca="false">SUM(AN68:AN72)</f>
        <v>23.2583199677664</v>
      </c>
      <c r="AO73" s="15" t="n">
        <f aca="false">SUM(AO68:AO72)</f>
        <v>21.8869299013046</v>
      </c>
      <c r="AP73" s="15" t="n">
        <f aca="false">SUM(AP68:AP72)</f>
        <v>20.6104925570417</v>
      </c>
      <c r="AQ73" s="15" t="n">
        <f aca="false">SUM(AQ68:AQ72)</f>
        <v>19.4224335695412</v>
      </c>
      <c r="AR73" s="15" t="n">
        <f aca="false">SUM(AR68:AR72)</f>
        <v>18.3166337712786</v>
      </c>
    </row>
    <row r="74" customFormat="false" ht="15" hidden="false" customHeight="false" outlineLevel="0" collapsed="false">
      <c r="B74" s="8" t="s">
        <v>379</v>
      </c>
      <c r="C74" s="8" t="s">
        <v>270</v>
      </c>
      <c r="D74" s="15" t="n">
        <f aca="false">SUM(E74:AR74)</f>
        <v>265.414936818946</v>
      </c>
      <c r="E74" s="15" t="n">
        <f aca="false">E52*$D$37/1000*(Исходные!$C$23+Исходные!$C$24*E56)/1000+Исходные!$C$25*E56*(E69+E70)</f>
        <v>0</v>
      </c>
      <c r="F74" s="15" t="n">
        <f aca="false">F52*$D$37/1000*(Исходные!$C$23+Исходные!$C$24*F56)/1000+Исходные!$C$25*F56*(F69+F70)</f>
        <v>0</v>
      </c>
      <c r="G74" s="15" t="n">
        <f aca="false">G52*$D$37/1000*(Исходные!$C$23+Исходные!$C$24*G56)/1000+Исходные!$C$25*G56*(G69+G70)</f>
        <v>0</v>
      </c>
      <c r="H74" s="15" t="n">
        <f aca="false">H52*$D$37/1000*(Исходные!$C$23+Исходные!$C$24*H56)/1000+Исходные!$C$25*H56*(H69+H70)</f>
        <v>0</v>
      </c>
      <c r="I74" s="15" t="n">
        <f aca="false">I52*$D$37/1000*(Исходные!$C$23+Исходные!$C$24*I56)/1000+Исходные!$C$25*I56*(I69+I70)</f>
        <v>4.1249753931323</v>
      </c>
      <c r="J74" s="15" t="n">
        <f aca="false">J52*$D$37/1000*(Исходные!$C$23+Исходные!$C$24*J56)/1000+Исходные!$C$25*J56*(J69+J70)</f>
        <v>8.24995078626459</v>
      </c>
      <c r="K74" s="15" t="n">
        <f aca="false">K52*$D$37/1000*(Исходные!$C$23+Исходные!$C$24*K56)/1000+Исходные!$C$25*K56*(K69+K70)</f>
        <v>11.5863880188032</v>
      </c>
      <c r="L74" s="15" t="n">
        <f aca="false">L52*$D$37/1000*(Исходные!$C$23+Исходные!$C$24*L56)/1000+Исходные!$C$25*L56*(L69+L70)</f>
        <v>11.5863880188032</v>
      </c>
      <c r="M74" s="15" t="n">
        <f aca="false">M52*$D$37/1000*(Исходные!$C$23+Исходные!$C$24*M56)/1000+Исходные!$C$25*M56*(M69+M70)</f>
        <v>11.5863880188032</v>
      </c>
      <c r="N74" s="15" t="n">
        <f aca="false">N52*$D$37/1000*(Исходные!$C$23+Исходные!$C$24*N56)/1000+Исходные!$C$25*N56*(N69+N70)</f>
        <v>11.5863880188032</v>
      </c>
      <c r="O74" s="15" t="n">
        <f aca="false">O52*$D$37/1000*(Исходные!$C$23+Исходные!$C$24*O56)/1000+Исходные!$C$25*O56*(O69+O70)</f>
        <v>11.5863880188032</v>
      </c>
      <c r="P74" s="15" t="n">
        <f aca="false">P52*$D$37/1000*(Исходные!$C$23+Исходные!$C$24*P56)/1000+Исходные!$C$25*P56*(P69+P70)</f>
        <v>11.5446752370773</v>
      </c>
      <c r="Q74" s="15" t="n">
        <f aca="false">Q52*$D$37/1000*(Исходные!$C$23+Исходные!$C$24*Q56)/1000+Исходные!$C$25*Q56*(Q69+Q70)</f>
        <v>11.5446752370773</v>
      </c>
      <c r="R74" s="15" t="n">
        <f aca="false">R52*$D$37/1000*(Исходные!$C$23+Исходные!$C$24*R56)/1000+Исходные!$C$25*R56*(R69+R70)</f>
        <v>11.5446752370773</v>
      </c>
      <c r="S74" s="15" t="n">
        <f aca="false">S52*$D$37/1000*(Исходные!$C$23+Исходные!$C$24*S56)/1000+Исходные!$C$25*S56*(S69+S70)</f>
        <v>11.5446752370773</v>
      </c>
      <c r="T74" s="15" t="n">
        <f aca="false">T52*$D$37/1000*(Исходные!$C$23+Исходные!$C$24*T56)/1000+Исходные!$C$25*T56*(T69+T70)</f>
        <v>11.5446752370773</v>
      </c>
      <c r="U74" s="15" t="n">
        <f aca="false">U52*$D$37/1000*(Исходные!$C$23+Исходные!$C$24*U56)/1000+Исходные!$C$25*U56*(U69+U70)</f>
        <v>11.5446752370773</v>
      </c>
      <c r="V74" s="15" t="n">
        <f aca="false">V52*$D$37/1000*(Исходные!$C$23+Исходные!$C$24*V56)/1000+Исходные!$C$25*V56*(V69+V70)</f>
        <v>10.747865719657</v>
      </c>
      <c r="W74" s="15" t="n">
        <f aca="false">W52*$D$37/1000*(Исходные!$C$23+Исходные!$C$24*W56)/1000+Исходные!$C$25*W56*(W69+W70)</f>
        <v>10.0062259417611</v>
      </c>
      <c r="X74" s="15" t="n">
        <f aca="false">X52*$D$37/1000*(Исходные!$C$23+Исходные!$C$24*X56)/1000+Исходные!$C$25*X56*(X69+X70)</f>
        <v>9.31593604419786</v>
      </c>
      <c r="Y74" s="15" t="n">
        <f aca="false">Y52*$D$37/1000*(Исходные!$C$23+Исходные!$C$24*Y56)/1000+Исходные!$C$25*Y56*(Y69+Y70)</f>
        <v>8.67344064834711</v>
      </c>
      <c r="Z74" s="15" t="n">
        <f aca="false">Z52*$D$37/1000*(Исходные!$C$23+Исходные!$C$24*Z56)/1000+Исходные!$C$25*Z56*(Z69+Z70)</f>
        <v>8.07543054397414</v>
      </c>
      <c r="AA74" s="15" t="n">
        <f aca="false">AA52*$D$37/1000*(Исходные!$C$23+Исходные!$C$24*AA56)/1000+Исходные!$C$25*AA56*(AA69+AA70)</f>
        <v>7.51882564494814</v>
      </c>
      <c r="AB74" s="15" t="n">
        <f aca="false">AB52*$D$37/1000*(Исходные!$C$23+Исходные!$C$24*AB56)/1000+Исходные!$C$25*AB56*(AB69+AB70)</f>
        <v>7.00075912507791</v>
      </c>
      <c r="AC74" s="15" t="n">
        <f aca="false">AC52*$D$37/1000*(Исходные!$C$23+Исходные!$C$24*AC56)/1000+Исходные!$C$25*AC56*(AC69+AC70)</f>
        <v>6.51856265235532</v>
      </c>
      <c r="AD74" s="15" t="n">
        <f aca="false">AD52*$D$37/1000*(Исходные!$C$23+Исходные!$C$24*AD56)/1000+Исходные!$C$25*AD56*(AD69+AD70)</f>
        <v>6.06975264555473</v>
      </c>
      <c r="AE74" s="15" t="n">
        <f aca="false">AE52*$D$37/1000*(Исходные!$C$23+Исходные!$C$24*AE56)/1000+Исходные!$C$25*AE56*(AE69+AE70)</f>
        <v>5.65201748240223</v>
      </c>
      <c r="AF74" s="15" t="n">
        <f aca="false">AF52*$D$37/1000*(Исходные!$C$23+Исходные!$C$24*AF56)/1000+Исходные!$C$25*AF56*(AF69+AF70)</f>
        <v>5.26320559342937</v>
      </c>
      <c r="AG74" s="15" t="n">
        <f aca="false">AG52*$D$37/1000*(Исходные!$C$23+Исходные!$C$24*AG56)/1000+Исходные!$C$25*AG56*(AG69+AG70)</f>
        <v>4.90131438018849</v>
      </c>
      <c r="AH74" s="15" t="n">
        <f aca="false">AH52*$D$37/1000*(Исходные!$C$23+Исходные!$C$24*AH56)/1000+Исходные!$C$25*AH56*(AH69+AH70)</f>
        <v>4.56447990075182</v>
      </c>
      <c r="AI74" s="15" t="n">
        <f aca="false">AI52*$D$37/1000*(Исходные!$C$23+Исходные!$C$24*AI56)/1000+Исходные!$C$25*AI56*(AI69+AI70)</f>
        <v>4.25096726936928</v>
      </c>
      <c r="AJ74" s="15" t="n">
        <f aca="false">AJ52*$D$37/1000*(Исходные!$C$23+Исходные!$C$24*AJ56)/1000+Исходные!$C$25*AJ56*(AJ69+AJ70)</f>
        <v>3.95916172083758</v>
      </c>
      <c r="AK74" s="15" t="n">
        <f aca="false">AK52*$D$37/1000*(Исходные!$C$23+Исходные!$C$24*AK56)/1000+Исходные!$C$25*AK56*(AK69+AK70)</f>
        <v>3.68756029355733</v>
      </c>
      <c r="AL74" s="15" t="n">
        <f aca="false">AL52*$D$37/1000*(Исходные!$C$23+Исходные!$C$24*AL56)/1000+Исходные!$C$25*AL56*(AL69+AL70)</f>
        <v>3.43476408844112</v>
      </c>
      <c r="AM74" s="15" t="n">
        <f aca="false">AM52*$D$37/1000*(Исходные!$C$23+Исходные!$C$24*AM56)/1000+Исходные!$C$25*AM56*(AM69+AM70)</f>
        <v>3.19947106380167</v>
      </c>
      <c r="AN74" s="15" t="n">
        <f aca="false">AN52*$D$37/1000*(Исходные!$C$23+Исходные!$C$24*AN56)/1000+Исходные!$C$25*AN56*(AN69+AN70)</f>
        <v>2.98046932910979</v>
      </c>
      <c r="AO74" s="15" t="n">
        <f aca="false">AO52*$D$37/1000*(Исходные!$C$23+Исходные!$C$24*AO56)/1000+Исходные!$C$25*AO56*(AO69+AO70)</f>
        <v>2.776630903081</v>
      </c>
      <c r="AP74" s="15" t="n">
        <f aca="false">AP52*$D$37/1000*(Исходные!$C$23+Исходные!$C$24*AP56)/1000+Исходные!$C$25*AP56*(AP69+AP70)</f>
        <v>2.58690590394185</v>
      </c>
      <c r="AQ74" s="15" t="n">
        <f aca="false">AQ52*$D$37/1000*(Исходные!$C$23+Исходные!$C$24*AQ56)/1000+Исходные!$C$25*AQ56*(AQ69+AQ70)</f>
        <v>2.41031714195214</v>
      </c>
      <c r="AR74" s="15" t="n">
        <f aca="false">AR52*$D$37/1000*(Исходные!$C$23+Исходные!$C$24*AR56)/1000+Исходные!$C$25*AR56*(AR69+AR70)</f>
        <v>2.24595508633192</v>
      </c>
    </row>
    <row r="75" customFormat="false" ht="15" hidden="false" customHeight="false" outlineLevel="0" collapsed="false">
      <c r="B75" s="42" t="s">
        <v>380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customFormat="false" ht="15" hidden="false" customHeight="false" outlineLevel="0" collapsed="false">
      <c r="B76" s="8" t="s">
        <v>381</v>
      </c>
      <c r="C76" s="8" t="s">
        <v>270</v>
      </c>
      <c r="D76" s="15" t="n">
        <f aca="false">CAPEX_нормы!$C$6*INDEX(CAPEX_нормы!$E$6:$I$6,MATCH($D$16,CAPEX_нормы!$E$5:$I$5,0))*$D$28</f>
        <v>15</v>
      </c>
      <c r="E76" s="15" t="n">
        <f aca="false">$D76*CAPEX_нормы!J$6</f>
        <v>15</v>
      </c>
      <c r="F76" s="15" t="n">
        <f aca="false">$D76*CAPEX_нормы!K$6</f>
        <v>0</v>
      </c>
      <c r="G76" s="15" t="n">
        <f aca="false">$D76*CAPEX_нормы!L$6</f>
        <v>0</v>
      </c>
      <c r="H76" s="15" t="n">
        <f aca="false">$D76*CAPEX_нормы!M$6</f>
        <v>0</v>
      </c>
      <c r="I76" s="15" t="n">
        <f aca="false">$D76*CAPEX_нормы!N$6</f>
        <v>0</v>
      </c>
      <c r="J76" s="15" t="n">
        <f aca="false">$D76*CAPEX_нормы!O$6</f>
        <v>0</v>
      </c>
      <c r="K76" s="15" t="n">
        <f aca="false">$D76*CAPEX_нормы!P$6</f>
        <v>0</v>
      </c>
      <c r="L76" s="15" t="n">
        <f aca="false">$D76*CAPEX_нормы!Q$6</f>
        <v>0</v>
      </c>
      <c r="M76" s="15" t="n">
        <f aca="false">$D76*CAPEX_нормы!R$6</f>
        <v>0</v>
      </c>
      <c r="N76" s="15" t="n">
        <f aca="false">$D76*CAPEX_нормы!S$6</f>
        <v>0</v>
      </c>
      <c r="O76" s="15" t="n">
        <f aca="false">$D76*CAPEX_нормы!T$6</f>
        <v>0</v>
      </c>
      <c r="P76" s="15" t="n">
        <f aca="false">$D76*CAPEX_нормы!U$6</f>
        <v>0</v>
      </c>
      <c r="Q76" s="15" t="n">
        <f aca="false">$D76*CAPEX_нормы!V$6</f>
        <v>0</v>
      </c>
      <c r="R76" s="15" t="n">
        <f aca="false">$D76*CAPEX_нормы!W$6</f>
        <v>0</v>
      </c>
      <c r="S76" s="15" t="n">
        <f aca="false">$D76*CAPEX_нормы!X$6</f>
        <v>0</v>
      </c>
      <c r="T76" s="15" t="n">
        <f aca="false">$D76*CAPEX_нормы!Y$6</f>
        <v>0</v>
      </c>
      <c r="U76" s="15" t="n">
        <f aca="false">$D76*CAPEX_нормы!Z$6</f>
        <v>0</v>
      </c>
      <c r="V76" s="15" t="n">
        <f aca="false">$D76*CAPEX_нормы!AA$6</f>
        <v>0</v>
      </c>
      <c r="W76" s="15" t="n">
        <f aca="false">$D76*CAPEX_нормы!AB$6</f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</row>
    <row r="77" customFormat="false" ht="15" hidden="false" customHeight="false" outlineLevel="0" collapsed="false">
      <c r="B77" s="8" t="s">
        <v>382</v>
      </c>
      <c r="C77" s="8" t="s">
        <v>270</v>
      </c>
      <c r="D77" s="15" t="n">
        <f aca="false">$D$42*$D$20*INDEX(CAPEX_нормы!$E$7:$I$7,MATCH($D$16,CAPEX_нормы!$E$5:$I$5,0))*$D$28</f>
        <v>85.7142857142857</v>
      </c>
      <c r="E77" s="15" t="n">
        <f aca="false">$D77*CAPEX_нормы!J$7</f>
        <v>0</v>
      </c>
      <c r="F77" s="15" t="n">
        <f aca="false">$D77*CAPEX_нормы!K$7</f>
        <v>17.1428571428571</v>
      </c>
      <c r="G77" s="15" t="n">
        <f aca="false">$D77*CAPEX_нормы!L$7</f>
        <v>25.7142857142857</v>
      </c>
      <c r="H77" s="15" t="n">
        <f aca="false">$D77*CAPEX_нормы!M$7</f>
        <v>25.7142857142857</v>
      </c>
      <c r="I77" s="15" t="n">
        <f aca="false">$D77*CAPEX_нормы!N$7</f>
        <v>6.85714285714286</v>
      </c>
      <c r="J77" s="15" t="n">
        <f aca="false">$D77*CAPEX_нормы!O$7</f>
        <v>0</v>
      </c>
      <c r="K77" s="15" t="n">
        <f aca="false">$D77*CAPEX_нормы!P$7</f>
        <v>0</v>
      </c>
      <c r="L77" s="15" t="n">
        <f aca="false">$D77*CAPEX_нормы!Q$7</f>
        <v>0</v>
      </c>
      <c r="M77" s="15" t="n">
        <f aca="false">$D77*CAPEX_нормы!R$7</f>
        <v>0</v>
      </c>
      <c r="N77" s="15" t="n">
        <f aca="false">$D77*CAPEX_нормы!S$7</f>
        <v>2.57142857142857</v>
      </c>
      <c r="O77" s="15" t="n">
        <f aca="false">$D77*CAPEX_нормы!T$7</f>
        <v>2.57142857142857</v>
      </c>
      <c r="P77" s="15" t="n">
        <f aca="false">$D77*CAPEX_нормы!U$7</f>
        <v>2.57142857142857</v>
      </c>
      <c r="Q77" s="15" t="n">
        <f aca="false">$D77*CAPEX_нормы!V$7</f>
        <v>2.57142857142857</v>
      </c>
      <c r="R77" s="15" t="n">
        <f aca="false">$D77*CAPEX_нормы!W$7</f>
        <v>0</v>
      </c>
      <c r="S77" s="15" t="n">
        <f aca="false">$D77*CAPEX_нормы!X$7</f>
        <v>0</v>
      </c>
      <c r="T77" s="15" t="n">
        <f aca="false">$D77*CAPEX_нормы!Y$7</f>
        <v>0</v>
      </c>
      <c r="U77" s="15" t="n">
        <f aca="false">$D77*CAPEX_нормы!Z$7</f>
        <v>0</v>
      </c>
      <c r="V77" s="15" t="n">
        <f aca="false">$D77*CAPEX_нормы!AA$7</f>
        <v>0</v>
      </c>
      <c r="W77" s="15" t="n">
        <f aca="false">$D77*CAPEX_нормы!AB$7</f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</row>
    <row r="78" customFormat="false" ht="15" hidden="false" customHeight="false" outlineLevel="0" collapsed="false">
      <c r="B78" s="8" t="s">
        <v>383</v>
      </c>
      <c r="C78" s="8" t="s">
        <v>270</v>
      </c>
      <c r="D78" s="15" t="n">
        <f aca="false">CAPEX_нормы!$C$8*$D$41*INDEX(CAPEX_нормы!$E$8:$I$8,MATCH($D$16,CAPEX_нормы!$E$5:$I$5,0))*$D$28</f>
        <v>41.7436288273543</v>
      </c>
      <c r="E78" s="15" t="n">
        <f aca="false">$D78*CAPEX_нормы!J$8</f>
        <v>0</v>
      </c>
      <c r="F78" s="15" t="n">
        <f aca="false">$D78*CAPEX_нормы!K$8</f>
        <v>12.5230886482063</v>
      </c>
      <c r="G78" s="15" t="n">
        <f aca="false">$D78*CAPEX_нормы!L$8</f>
        <v>16.6974515309417</v>
      </c>
      <c r="H78" s="15" t="n">
        <f aca="false">$D78*CAPEX_нормы!M$8</f>
        <v>12.5230886482063</v>
      </c>
      <c r="I78" s="15" t="n">
        <f aca="false">$D78*CAPEX_нормы!N$8</f>
        <v>0</v>
      </c>
      <c r="J78" s="15" t="n">
        <f aca="false">$D78*CAPEX_нормы!O$8</f>
        <v>0</v>
      </c>
      <c r="K78" s="15" t="n">
        <f aca="false">$D78*CAPEX_нормы!P$8</f>
        <v>0</v>
      </c>
      <c r="L78" s="15" t="n">
        <f aca="false">$D78*CAPEX_нормы!Q$8</f>
        <v>0</v>
      </c>
      <c r="M78" s="15" t="n">
        <f aca="false">$D78*CAPEX_нормы!R$8</f>
        <v>0</v>
      </c>
      <c r="N78" s="15" t="n">
        <f aca="false">$D78*CAPEX_нормы!S$8</f>
        <v>0</v>
      </c>
      <c r="O78" s="15" t="n">
        <f aca="false">$D78*CAPEX_нормы!T$8</f>
        <v>0</v>
      </c>
      <c r="P78" s="15" t="n">
        <f aca="false">$D78*CAPEX_нормы!U$8</f>
        <v>0</v>
      </c>
      <c r="Q78" s="15" t="n">
        <f aca="false">$D78*CAPEX_нормы!V$8</f>
        <v>0</v>
      </c>
      <c r="R78" s="15" t="n">
        <f aca="false">$D78*CAPEX_нормы!W$8</f>
        <v>0</v>
      </c>
      <c r="S78" s="15" t="n">
        <f aca="false">$D78*CAPEX_нормы!X$8</f>
        <v>0</v>
      </c>
      <c r="T78" s="15" t="n">
        <f aca="false">$D78*CAPEX_нормы!Y$8</f>
        <v>0</v>
      </c>
      <c r="U78" s="15" t="n">
        <f aca="false">$D78*CAPEX_нормы!Z$8</f>
        <v>0</v>
      </c>
      <c r="V78" s="15" t="n">
        <f aca="false">$D78*CAPEX_нормы!AA$8</f>
        <v>0</v>
      </c>
      <c r="W78" s="15" t="n">
        <f aca="false">$D78*CAPEX_нормы!AB$8</f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</row>
    <row r="79" customFormat="false" ht="15" hidden="false" customHeight="false" outlineLevel="0" collapsed="false">
      <c r="B79" s="8" t="s">
        <v>384</v>
      </c>
      <c r="C79" s="8" t="s">
        <v>270</v>
      </c>
      <c r="D79" s="15" t="n">
        <f aca="false">CAPEX_нормы!$C$9*$D$41*INDEX(CAPEX_нормы!$E$9:$I$9,MATCH($D$16,CAPEX_нормы!$E$5:$I$5,0))*$D$28</f>
        <v>70.1292964299552</v>
      </c>
      <c r="E79" s="15" t="n">
        <f aca="false">$D79*CAPEX_нормы!J$9</f>
        <v>0</v>
      </c>
      <c r="F79" s="15" t="n">
        <f aca="false">$D79*CAPEX_нормы!K$9</f>
        <v>20.8718110741868</v>
      </c>
      <c r="G79" s="15" t="n">
        <f aca="false">$D79*CAPEX_нормы!L$9</f>
        <v>29.2205635555802</v>
      </c>
      <c r="H79" s="15" t="n">
        <f aca="false">$D79*CAPEX_нормы!M$9</f>
        <v>20.0369218001882</v>
      </c>
      <c r="I79" s="15" t="n">
        <f aca="false">$D79*CAPEX_нормы!N$9</f>
        <v>0</v>
      </c>
      <c r="J79" s="15" t="n">
        <f aca="false">$D79*CAPEX_нормы!O$9</f>
        <v>0</v>
      </c>
      <c r="K79" s="15" t="n">
        <f aca="false">$D79*CAPEX_нормы!P$9</f>
        <v>0</v>
      </c>
      <c r="L79" s="15" t="n">
        <f aca="false">$D79*CAPEX_нормы!Q$9</f>
        <v>0</v>
      </c>
      <c r="M79" s="15" t="n">
        <f aca="false">$D79*CAPEX_нормы!R$9</f>
        <v>0</v>
      </c>
      <c r="N79" s="15" t="n">
        <f aca="false">$D79*CAPEX_нормы!S$9</f>
        <v>0</v>
      </c>
      <c r="O79" s="15" t="n">
        <f aca="false">$D79*CAPEX_нормы!T$9</f>
        <v>0</v>
      </c>
      <c r="P79" s="15" t="n">
        <f aca="false">$D79*CAPEX_нормы!U$9</f>
        <v>0</v>
      </c>
      <c r="Q79" s="15" t="n">
        <f aca="false">$D79*CAPEX_нормы!V$9</f>
        <v>0</v>
      </c>
      <c r="R79" s="15" t="n">
        <f aca="false">$D79*CAPEX_нормы!W$9</f>
        <v>0</v>
      </c>
      <c r="S79" s="15" t="n">
        <f aca="false">$D79*CAPEX_нормы!X$9</f>
        <v>0</v>
      </c>
      <c r="T79" s="15" t="n">
        <f aca="false">$D79*CAPEX_нормы!Y$9</f>
        <v>0</v>
      </c>
      <c r="U79" s="15" t="n">
        <f aca="false">$D79*CAPEX_нормы!Z$9</f>
        <v>0</v>
      </c>
      <c r="V79" s="15" t="n">
        <f aca="false">$D79*CAPEX_нормы!AA$9</f>
        <v>0</v>
      </c>
      <c r="W79" s="15" t="n">
        <f aca="false">$D79*CAPEX_нормы!AB$9</f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0</v>
      </c>
    </row>
    <row r="80" customFormat="false" ht="15" hidden="false" customHeight="false" outlineLevel="0" collapsed="false">
      <c r="B80" s="8" t="s">
        <v>385</v>
      </c>
      <c r="C80" s="8" t="s">
        <v>270</v>
      </c>
      <c r="D80" s="15" t="n">
        <f aca="false">CAPEX_нормы!$C$10*$D$41*INDEX(CAPEX_нормы!$E$10:$I$10,MATCH($D$16,CAPEX_нормы!$E$5:$I$5,0))*$D$28</f>
        <v>4.48856223950046</v>
      </c>
      <c r="E80" s="15" t="n">
        <f aca="false">$D80*CAPEX_нормы!J$10</f>
        <v>0</v>
      </c>
      <c r="F80" s="15" t="n">
        <f aca="false">$D80*CAPEX_нормы!K$10</f>
        <v>0</v>
      </c>
      <c r="G80" s="15" t="n">
        <f aca="false">$D80*CAPEX_нормы!L$10</f>
        <v>2.24428111975023</v>
      </c>
      <c r="H80" s="15" t="n">
        <f aca="false">$D80*CAPEX_нормы!M$10</f>
        <v>2.24428111975023</v>
      </c>
      <c r="I80" s="15" t="n">
        <f aca="false">$D80*CAPEX_нормы!N$10</f>
        <v>0</v>
      </c>
      <c r="J80" s="15" t="n">
        <f aca="false">$D80*CAPEX_нормы!O$10</f>
        <v>0</v>
      </c>
      <c r="K80" s="15" t="n">
        <f aca="false">$D80*CAPEX_нормы!P$10</f>
        <v>0</v>
      </c>
      <c r="L80" s="15" t="n">
        <f aca="false">$D80*CAPEX_нормы!Q$10</f>
        <v>0</v>
      </c>
      <c r="M80" s="15" t="n">
        <f aca="false">$D80*CAPEX_нормы!R$10</f>
        <v>0</v>
      </c>
      <c r="N80" s="15" t="n">
        <f aca="false">$D80*CAPEX_нормы!S$10</f>
        <v>0</v>
      </c>
      <c r="O80" s="15" t="n">
        <f aca="false">$D80*CAPEX_нормы!T$10</f>
        <v>0</v>
      </c>
      <c r="P80" s="15" t="n">
        <f aca="false">$D80*CAPEX_нормы!U$10</f>
        <v>0</v>
      </c>
      <c r="Q80" s="15" t="n">
        <f aca="false">$D80*CAPEX_нормы!V$10</f>
        <v>0</v>
      </c>
      <c r="R80" s="15" t="n">
        <f aca="false">$D80*CAPEX_нормы!W$10</f>
        <v>0</v>
      </c>
      <c r="S80" s="15" t="n">
        <f aca="false">$D80*CAPEX_нормы!X$10</f>
        <v>0</v>
      </c>
      <c r="T80" s="15" t="n">
        <f aca="false">$D80*CAPEX_нормы!Y$10</f>
        <v>0</v>
      </c>
      <c r="U80" s="15" t="n">
        <f aca="false">$D80*CAPEX_нормы!Z$10</f>
        <v>0</v>
      </c>
      <c r="V80" s="15" t="n">
        <f aca="false">$D80*CAPEX_нормы!AA$10</f>
        <v>0</v>
      </c>
      <c r="W80" s="15" t="n">
        <f aca="false">$D80*CAPEX_нормы!AB$10</f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</row>
    <row r="81" customFormat="false" ht="15" hidden="false" customHeight="false" outlineLevel="0" collapsed="false">
      <c r="B81" s="8" t="s">
        <v>386</v>
      </c>
      <c r="C81" s="8" t="s">
        <v>270</v>
      </c>
      <c r="D81" s="15" t="n">
        <f aca="false">CAPEX_нормы!$C$11*$D$41*INDEX(CAPEX_нормы!$E$11:$I$11,MATCH($D$16,CAPEX_нормы!$E$5:$I$5,0))*$D$28</f>
        <v>0</v>
      </c>
      <c r="E81" s="15" t="n">
        <f aca="false">$D81*CAPEX_нормы!J$11</f>
        <v>0</v>
      </c>
      <c r="F81" s="15" t="n">
        <f aca="false">$D81*CAPEX_нормы!K$11</f>
        <v>0</v>
      </c>
      <c r="G81" s="15" t="n">
        <f aca="false">$D81*CAPEX_нормы!L$11</f>
        <v>0</v>
      </c>
      <c r="H81" s="15" t="n">
        <f aca="false">$D81*CAPEX_нормы!M$11</f>
        <v>0</v>
      </c>
      <c r="I81" s="15" t="n">
        <f aca="false">$D81*CAPEX_нормы!N$11</f>
        <v>0</v>
      </c>
      <c r="J81" s="15" t="n">
        <f aca="false">$D81*CAPEX_нормы!O$11</f>
        <v>0</v>
      </c>
      <c r="K81" s="15" t="n">
        <f aca="false">$D81*CAPEX_нормы!P$11</f>
        <v>0</v>
      </c>
      <c r="L81" s="15" t="n">
        <f aca="false">$D81*CAPEX_нормы!Q$11</f>
        <v>0</v>
      </c>
      <c r="M81" s="15" t="n">
        <f aca="false">$D81*CAPEX_нормы!R$11</f>
        <v>0</v>
      </c>
      <c r="N81" s="15" t="n">
        <f aca="false">$D81*CAPEX_нормы!S$11</f>
        <v>0</v>
      </c>
      <c r="O81" s="15" t="n">
        <f aca="false">$D81*CAPEX_нормы!T$11</f>
        <v>0</v>
      </c>
      <c r="P81" s="15" t="n">
        <f aca="false">$D81*CAPEX_нормы!U$11</f>
        <v>0</v>
      </c>
      <c r="Q81" s="15" t="n">
        <f aca="false">$D81*CAPEX_нормы!V$11</f>
        <v>0</v>
      </c>
      <c r="R81" s="15" t="n">
        <f aca="false">$D81*CAPEX_нормы!W$11</f>
        <v>0</v>
      </c>
      <c r="S81" s="15" t="n">
        <f aca="false">$D81*CAPEX_нормы!X$11</f>
        <v>0</v>
      </c>
      <c r="T81" s="15" t="n">
        <f aca="false">$D81*CAPEX_нормы!Y$11</f>
        <v>0</v>
      </c>
      <c r="U81" s="15" t="n">
        <f aca="false">$D81*CAPEX_нормы!Z$11</f>
        <v>0</v>
      </c>
      <c r="V81" s="15" t="n">
        <f aca="false">$D81*CAPEX_нормы!AA$11</f>
        <v>0</v>
      </c>
      <c r="W81" s="15" t="n">
        <f aca="false">$D81*CAPEX_нормы!AB$11</f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</row>
    <row r="82" customFormat="false" ht="15" hidden="false" customHeight="false" outlineLevel="0" collapsed="false">
      <c r="B82" s="8" t="s">
        <v>387</v>
      </c>
      <c r="C82" s="8" t="s">
        <v>270</v>
      </c>
      <c r="D82" s="15" t="n">
        <f aca="false">CAPEX_нормы!$C$12*$D$41*INDEX(CAPEX_нормы!$E$12:$I$12,MATCH($D$16,CAPEX_нормы!$E$5:$I$5,0))*$D$28</f>
        <v>0</v>
      </c>
      <c r="E82" s="15" t="n">
        <f aca="false">$D82*CAPEX_нормы!J$12</f>
        <v>0</v>
      </c>
      <c r="F82" s="15" t="n">
        <f aca="false">$D82*CAPEX_нормы!K$12</f>
        <v>0</v>
      </c>
      <c r="G82" s="15" t="n">
        <f aca="false">$D82*CAPEX_нормы!L$12</f>
        <v>0</v>
      </c>
      <c r="H82" s="15" t="n">
        <f aca="false">$D82*CAPEX_нормы!M$12</f>
        <v>0</v>
      </c>
      <c r="I82" s="15" t="n">
        <f aca="false">$D82*CAPEX_нормы!N$12</f>
        <v>0</v>
      </c>
      <c r="J82" s="15" t="n">
        <f aca="false">$D82*CAPEX_нормы!O$12</f>
        <v>0</v>
      </c>
      <c r="K82" s="15" t="n">
        <f aca="false">$D82*CAPEX_нормы!P$12</f>
        <v>0</v>
      </c>
      <c r="L82" s="15" t="n">
        <f aca="false">$D82*CAPEX_нормы!Q$12</f>
        <v>0</v>
      </c>
      <c r="M82" s="15" t="n">
        <f aca="false">$D82*CAPEX_нормы!R$12</f>
        <v>0</v>
      </c>
      <c r="N82" s="15" t="n">
        <f aca="false">$D82*CAPEX_нормы!S$12</f>
        <v>0</v>
      </c>
      <c r="O82" s="15" t="n">
        <f aca="false">$D82*CAPEX_нормы!T$12</f>
        <v>0</v>
      </c>
      <c r="P82" s="15" t="n">
        <f aca="false">$D82*CAPEX_нормы!U$12</f>
        <v>0</v>
      </c>
      <c r="Q82" s="15" t="n">
        <f aca="false">$D82*CAPEX_нормы!V$12</f>
        <v>0</v>
      </c>
      <c r="R82" s="15" t="n">
        <f aca="false">$D82*CAPEX_нормы!W$12</f>
        <v>0</v>
      </c>
      <c r="S82" s="15" t="n">
        <f aca="false">$D82*CAPEX_нормы!X$12</f>
        <v>0</v>
      </c>
      <c r="T82" s="15" t="n">
        <f aca="false">$D82*CAPEX_нормы!Y$12</f>
        <v>0</v>
      </c>
      <c r="U82" s="15" t="n">
        <f aca="false">$D82*CAPEX_нормы!Z$12</f>
        <v>0</v>
      </c>
      <c r="V82" s="15" t="n">
        <f aca="false">$D82*CAPEX_нормы!AA$12</f>
        <v>0</v>
      </c>
      <c r="W82" s="15" t="n">
        <f aca="false">$D82*CAPEX_нормы!AB$12</f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</row>
    <row r="83" customFormat="false" ht="15" hidden="false" customHeight="false" outlineLevel="0" collapsed="false">
      <c r="B83" s="8" t="s">
        <v>388</v>
      </c>
      <c r="C83" s="8" t="s">
        <v>270</v>
      </c>
      <c r="D83" s="15" t="n">
        <f aca="false">CAPEX_нормы!$C$13*$D$41*INDEX(CAPEX_нормы!$E$13:$I$13,MATCH($D$16,CAPEX_нормы!$E$5:$I$5,0))*$D$28</f>
        <v>0</v>
      </c>
      <c r="E83" s="15" t="n">
        <f aca="false">$D83*CAPEX_нормы!J$13</f>
        <v>0</v>
      </c>
      <c r="F83" s="15" t="n">
        <f aca="false">$D83*CAPEX_нормы!K$13</f>
        <v>0</v>
      </c>
      <c r="G83" s="15" t="n">
        <f aca="false">$D83*CAPEX_нормы!L$13</f>
        <v>0</v>
      </c>
      <c r="H83" s="15" t="n">
        <f aca="false">$D83*CAPEX_нормы!M$13</f>
        <v>0</v>
      </c>
      <c r="I83" s="15" t="n">
        <f aca="false">$D83*CAPEX_нормы!N$13</f>
        <v>0</v>
      </c>
      <c r="J83" s="15" t="n">
        <f aca="false">$D83*CAPEX_нормы!O$13</f>
        <v>0</v>
      </c>
      <c r="K83" s="15" t="n">
        <f aca="false">$D83*CAPEX_нормы!P$13</f>
        <v>0</v>
      </c>
      <c r="L83" s="15" t="n">
        <f aca="false">$D83*CAPEX_нормы!Q$13</f>
        <v>0</v>
      </c>
      <c r="M83" s="15" t="n">
        <f aca="false">$D83*CAPEX_нормы!R$13</f>
        <v>0</v>
      </c>
      <c r="N83" s="15" t="n">
        <f aca="false">$D83*CAPEX_нормы!S$13</f>
        <v>0</v>
      </c>
      <c r="O83" s="15" t="n">
        <f aca="false">$D83*CAPEX_нормы!T$13</f>
        <v>0</v>
      </c>
      <c r="P83" s="15" t="n">
        <f aca="false">$D83*CAPEX_нормы!U$13</f>
        <v>0</v>
      </c>
      <c r="Q83" s="15" t="n">
        <f aca="false">$D83*CAPEX_нормы!V$13</f>
        <v>0</v>
      </c>
      <c r="R83" s="15" t="n">
        <f aca="false">$D83*CAPEX_нормы!W$13</f>
        <v>0</v>
      </c>
      <c r="S83" s="15" t="n">
        <f aca="false">$D83*CAPEX_нормы!X$13</f>
        <v>0</v>
      </c>
      <c r="T83" s="15" t="n">
        <f aca="false">$D83*CAPEX_нормы!Y$13</f>
        <v>0</v>
      </c>
      <c r="U83" s="15" t="n">
        <f aca="false">$D83*CAPEX_нормы!Z$13</f>
        <v>0</v>
      </c>
      <c r="V83" s="15" t="n">
        <f aca="false">$D83*CAPEX_нормы!AA$13</f>
        <v>0</v>
      </c>
      <c r="W83" s="15" t="n">
        <f aca="false">$D83*CAPEX_нормы!AB$13</f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</row>
    <row r="84" customFormat="false" ht="15" hidden="false" customHeight="false" outlineLevel="0" collapsed="false">
      <c r="B84" s="8" t="s">
        <v>389</v>
      </c>
      <c r="C84" s="8" t="s">
        <v>270</v>
      </c>
      <c r="D84" s="15" t="n">
        <f aca="false">CAPEX_нормы!$C$14*$D$41*INDEX(CAPEX_нормы!$E$14:$I$14,MATCH($D$16,CAPEX_нормы!$E$5:$I$5,0))*$D$28</f>
        <v>0</v>
      </c>
      <c r="E84" s="15" t="n">
        <f aca="false">$D84*CAPEX_нормы!J$14</f>
        <v>0</v>
      </c>
      <c r="F84" s="15" t="n">
        <f aca="false">$D84*CAPEX_нормы!K$14</f>
        <v>0</v>
      </c>
      <c r="G84" s="15" t="n">
        <f aca="false">$D84*CAPEX_нормы!L$14</f>
        <v>0</v>
      </c>
      <c r="H84" s="15" t="n">
        <f aca="false">$D84*CAPEX_нормы!M$14</f>
        <v>0</v>
      </c>
      <c r="I84" s="15" t="n">
        <f aca="false">$D84*CAPEX_нормы!N$14</f>
        <v>0</v>
      </c>
      <c r="J84" s="15" t="n">
        <f aca="false">$D84*CAPEX_нормы!O$14</f>
        <v>0</v>
      </c>
      <c r="K84" s="15" t="n">
        <f aca="false">$D84*CAPEX_нормы!P$14</f>
        <v>0</v>
      </c>
      <c r="L84" s="15" t="n">
        <f aca="false">$D84*CAPEX_нормы!Q$14</f>
        <v>0</v>
      </c>
      <c r="M84" s="15" t="n">
        <f aca="false">$D84*CAPEX_нормы!R$14</f>
        <v>0</v>
      </c>
      <c r="N84" s="15" t="n">
        <f aca="false">$D84*CAPEX_нормы!S$14</f>
        <v>0</v>
      </c>
      <c r="O84" s="15" t="n">
        <f aca="false">$D84*CAPEX_нормы!T$14</f>
        <v>0</v>
      </c>
      <c r="P84" s="15" t="n">
        <f aca="false">$D84*CAPEX_нормы!U$14</f>
        <v>0</v>
      </c>
      <c r="Q84" s="15" t="n">
        <f aca="false">$D84*CAPEX_нормы!V$14</f>
        <v>0</v>
      </c>
      <c r="R84" s="15" t="n">
        <f aca="false">$D84*CAPEX_нормы!W$14</f>
        <v>0</v>
      </c>
      <c r="S84" s="15" t="n">
        <f aca="false">$D84*CAPEX_нормы!X$14</f>
        <v>0</v>
      </c>
      <c r="T84" s="15" t="n">
        <f aca="false">$D84*CAPEX_нормы!Y$14</f>
        <v>0</v>
      </c>
      <c r="U84" s="15" t="n">
        <f aca="false">$D84*CAPEX_нормы!Z$14</f>
        <v>0</v>
      </c>
      <c r="V84" s="15" t="n">
        <f aca="false">$D84*CAPEX_нормы!AA$14</f>
        <v>0</v>
      </c>
      <c r="W84" s="15" t="n">
        <f aca="false">$D84*CAPEX_нормы!AB$14</f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0</v>
      </c>
    </row>
    <row r="85" customFormat="false" ht="15" hidden="false" customHeight="false" outlineLevel="0" collapsed="false">
      <c r="B85" s="8" t="s">
        <v>390</v>
      </c>
      <c r="C85" s="8" t="s">
        <v>270</v>
      </c>
      <c r="D85" s="15" t="n">
        <f aca="false">CAPEX_нормы!$C$15*$D$41*INDEX(CAPEX_нормы!$E$15:$I$15,MATCH($D$16,CAPEX_нормы!$E$5:$I$5,0))*$D$28</f>
        <v>0</v>
      </c>
      <c r="E85" s="15" t="n">
        <f aca="false">$D85*CAPEX_нормы!J$15</f>
        <v>0</v>
      </c>
      <c r="F85" s="15" t="n">
        <f aca="false">$D85*CAPEX_нормы!K$15</f>
        <v>0</v>
      </c>
      <c r="G85" s="15" t="n">
        <f aca="false">$D85*CAPEX_нормы!L$15</f>
        <v>0</v>
      </c>
      <c r="H85" s="15" t="n">
        <f aca="false">$D85*CAPEX_нормы!M$15</f>
        <v>0</v>
      </c>
      <c r="I85" s="15" t="n">
        <f aca="false">$D85*CAPEX_нормы!N$15</f>
        <v>0</v>
      </c>
      <c r="J85" s="15" t="n">
        <f aca="false">$D85*CAPEX_нормы!O$15</f>
        <v>0</v>
      </c>
      <c r="K85" s="15" t="n">
        <f aca="false">$D85*CAPEX_нормы!P$15</f>
        <v>0</v>
      </c>
      <c r="L85" s="15" t="n">
        <f aca="false">$D85*CAPEX_нормы!Q$15</f>
        <v>0</v>
      </c>
      <c r="M85" s="15" t="n">
        <f aca="false">$D85*CAPEX_нормы!R$15</f>
        <v>0</v>
      </c>
      <c r="N85" s="15" t="n">
        <f aca="false">$D85*CAPEX_нормы!S$15</f>
        <v>0</v>
      </c>
      <c r="O85" s="15" t="n">
        <f aca="false">$D85*CAPEX_нормы!T$15</f>
        <v>0</v>
      </c>
      <c r="P85" s="15" t="n">
        <f aca="false">$D85*CAPEX_нормы!U$15</f>
        <v>0</v>
      </c>
      <c r="Q85" s="15" t="n">
        <f aca="false">$D85*CAPEX_нормы!V$15</f>
        <v>0</v>
      </c>
      <c r="R85" s="15" t="n">
        <f aca="false">$D85*CAPEX_нормы!W$15</f>
        <v>0</v>
      </c>
      <c r="S85" s="15" t="n">
        <f aca="false">$D85*CAPEX_нормы!X$15</f>
        <v>0</v>
      </c>
      <c r="T85" s="15" t="n">
        <f aca="false">$D85*CAPEX_нормы!Y$15</f>
        <v>0</v>
      </c>
      <c r="U85" s="15" t="n">
        <f aca="false">$D85*CAPEX_нормы!Z$15</f>
        <v>0</v>
      </c>
      <c r="V85" s="15" t="n">
        <f aca="false">$D85*CAPEX_нормы!AA$15</f>
        <v>0</v>
      </c>
      <c r="W85" s="15" t="n">
        <f aca="false">$D85*CAPEX_нормы!AB$15</f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</row>
    <row r="86" customFormat="false" ht="15" hidden="false" customHeight="false" outlineLevel="0" collapsed="false">
      <c r="B86" s="8" t="s">
        <v>391</v>
      </c>
      <c r="C86" s="8" t="s">
        <v>270</v>
      </c>
      <c r="D86" s="15" t="n">
        <f aca="false">CAPEX_нормы!$C$16*$D$41*INDEX(CAPEX_нормы!$E$16:$I$16,MATCH($D$16,CAPEX_нормы!$E$5:$I$5,0))*$D$28</f>
        <v>10.7725493748011</v>
      </c>
      <c r="E86" s="15" t="n">
        <f aca="false">$D86*CAPEX_нормы!J$16</f>
        <v>0</v>
      </c>
      <c r="F86" s="15" t="n">
        <f aca="false">$D86*CAPEX_нормы!K$16</f>
        <v>4.48856583035025</v>
      </c>
      <c r="G86" s="15" t="n">
        <f aca="false">$D86*CAPEX_нормы!L$16</f>
        <v>4.48856583035025</v>
      </c>
      <c r="H86" s="15" t="n">
        <f aca="false">$D86*CAPEX_нормы!M$16</f>
        <v>1.79542848664998</v>
      </c>
      <c r="I86" s="15" t="n">
        <f aca="false">$D86*CAPEX_нормы!N$16</f>
        <v>0</v>
      </c>
      <c r="J86" s="15" t="n">
        <f aca="false">$D86*CAPEX_нормы!O$16</f>
        <v>0</v>
      </c>
      <c r="K86" s="15" t="n">
        <f aca="false">$D86*CAPEX_нормы!P$16</f>
        <v>0</v>
      </c>
      <c r="L86" s="15" t="n">
        <f aca="false">$D86*CAPEX_нормы!Q$16</f>
        <v>0</v>
      </c>
      <c r="M86" s="15" t="n">
        <f aca="false">$D86*CAPEX_нормы!R$16</f>
        <v>0</v>
      </c>
      <c r="N86" s="15" t="n">
        <f aca="false">$D86*CAPEX_нормы!S$16</f>
        <v>0</v>
      </c>
      <c r="O86" s="15" t="n">
        <f aca="false">$D86*CAPEX_нормы!T$16</f>
        <v>0</v>
      </c>
      <c r="P86" s="15" t="n">
        <f aca="false">$D86*CAPEX_нормы!U$16</f>
        <v>0</v>
      </c>
      <c r="Q86" s="15" t="n">
        <f aca="false">$D86*CAPEX_нормы!V$16</f>
        <v>0</v>
      </c>
      <c r="R86" s="15" t="n">
        <f aca="false">$D86*CAPEX_нормы!W$16</f>
        <v>0</v>
      </c>
      <c r="S86" s="15" t="n">
        <f aca="false">$D86*CAPEX_нормы!X$16</f>
        <v>0</v>
      </c>
      <c r="T86" s="15" t="n">
        <f aca="false">$D86*CAPEX_нормы!Y$16</f>
        <v>0</v>
      </c>
      <c r="U86" s="15" t="n">
        <f aca="false">$D86*CAPEX_нормы!Z$16</f>
        <v>0</v>
      </c>
      <c r="V86" s="15" t="n">
        <f aca="false">$D86*CAPEX_нормы!AA$16</f>
        <v>0</v>
      </c>
      <c r="W86" s="15" t="n">
        <f aca="false">$D86*CAPEX_нормы!AB$16</f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0</v>
      </c>
    </row>
    <row r="87" customFormat="false" ht="15" hidden="false" customHeight="false" outlineLevel="0" collapsed="false">
      <c r="B87" s="8" t="s">
        <v>392</v>
      </c>
      <c r="C87" s="8" t="s">
        <v>270</v>
      </c>
      <c r="D87" s="15" t="n">
        <f aca="false">$D$30*INDEX(CAPEX_нормы!$E$17:$I$17,MATCH($D$16,CAPEX_нормы!$E$5:$I$5,0))*$D$28</f>
        <v>4</v>
      </c>
      <c r="E87" s="15" t="n">
        <f aca="false">$D87*CAPEX_нормы!J$17</f>
        <v>0</v>
      </c>
      <c r="F87" s="15" t="n">
        <f aca="false">$D87*CAPEX_нормы!K$17</f>
        <v>1.5</v>
      </c>
      <c r="G87" s="15" t="n">
        <f aca="false">$D87*CAPEX_нормы!L$17</f>
        <v>1.5</v>
      </c>
      <c r="H87" s="15" t="n">
        <f aca="false">$D87*CAPEX_нормы!M$17</f>
        <v>1</v>
      </c>
      <c r="I87" s="15" t="n">
        <f aca="false">$D87*CAPEX_нормы!N$17</f>
        <v>0</v>
      </c>
      <c r="J87" s="15" t="n">
        <f aca="false">$D87*CAPEX_нормы!O$17</f>
        <v>0</v>
      </c>
      <c r="K87" s="15" t="n">
        <f aca="false">$D87*CAPEX_нормы!P$17</f>
        <v>0</v>
      </c>
      <c r="L87" s="15" t="n">
        <f aca="false">$D87*CAPEX_нормы!Q$17</f>
        <v>0</v>
      </c>
      <c r="M87" s="15" t="n">
        <f aca="false">$D87*CAPEX_нормы!R$17</f>
        <v>0</v>
      </c>
      <c r="N87" s="15" t="n">
        <f aca="false">$D87*CAPEX_нормы!S$17</f>
        <v>0</v>
      </c>
      <c r="O87" s="15" t="n">
        <f aca="false">$D87*CAPEX_нормы!T$17</f>
        <v>0</v>
      </c>
      <c r="P87" s="15" t="n">
        <f aca="false">$D87*CAPEX_нормы!U$17</f>
        <v>0</v>
      </c>
      <c r="Q87" s="15" t="n">
        <f aca="false">$D87*CAPEX_нормы!V$17</f>
        <v>0</v>
      </c>
      <c r="R87" s="15" t="n">
        <f aca="false">$D87*CAPEX_нормы!W$17</f>
        <v>0</v>
      </c>
      <c r="S87" s="15" t="n">
        <f aca="false">$D87*CAPEX_нормы!X$17</f>
        <v>0</v>
      </c>
      <c r="T87" s="15" t="n">
        <f aca="false">$D87*CAPEX_нормы!Y$17</f>
        <v>0</v>
      </c>
      <c r="U87" s="15" t="n">
        <f aca="false">$D87*CAPEX_нормы!Z$17</f>
        <v>0</v>
      </c>
      <c r="V87" s="15" t="n">
        <f aca="false">$D87*CAPEX_нормы!AA$17</f>
        <v>0</v>
      </c>
      <c r="W87" s="15" t="n">
        <f aca="false">$D87*CAPEX_нормы!AB$17</f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</row>
    <row r="88" customFormat="false" ht="15" hidden="false" customHeight="false" outlineLevel="0" collapsed="false">
      <c r="B88" s="8" t="s">
        <v>393</v>
      </c>
      <c r="C88" s="8" t="s">
        <v>270</v>
      </c>
      <c r="D88" s="15" t="n">
        <f aca="false">$D$31*INDEX(CAPEX_нормы!$E$18:$I$18,MATCH($D$16,CAPEX_нормы!$E$5:$I$5,0))*$D$28</f>
        <v>24</v>
      </c>
      <c r="E88" s="15" t="n">
        <f aca="false">$D88*CAPEX_нормы!J$18</f>
        <v>0</v>
      </c>
      <c r="F88" s="15" t="n">
        <f aca="false">$D88*CAPEX_нормы!K$18</f>
        <v>9.6</v>
      </c>
      <c r="G88" s="15" t="n">
        <f aca="false">$D88*CAPEX_нормы!L$18</f>
        <v>9.6</v>
      </c>
      <c r="H88" s="15" t="n">
        <f aca="false">$D88*CAPEX_нормы!M$18</f>
        <v>4.8</v>
      </c>
      <c r="I88" s="15" t="n">
        <f aca="false">$D88*CAPEX_нормы!N$18</f>
        <v>0</v>
      </c>
      <c r="J88" s="15" t="n">
        <f aca="false">$D88*CAPEX_нормы!O$18</f>
        <v>0</v>
      </c>
      <c r="K88" s="15" t="n">
        <f aca="false">$D88*CAPEX_нормы!P$18</f>
        <v>0</v>
      </c>
      <c r="L88" s="15" t="n">
        <f aca="false">$D88*CAPEX_нормы!Q$18</f>
        <v>0</v>
      </c>
      <c r="M88" s="15" t="n">
        <f aca="false">$D88*CAPEX_нормы!R$18</f>
        <v>0</v>
      </c>
      <c r="N88" s="15" t="n">
        <f aca="false">$D88*CAPEX_нормы!S$18</f>
        <v>0</v>
      </c>
      <c r="O88" s="15" t="n">
        <f aca="false">$D88*CAPEX_нормы!T$18</f>
        <v>0</v>
      </c>
      <c r="P88" s="15" t="n">
        <f aca="false">$D88*CAPEX_нормы!U$18</f>
        <v>0</v>
      </c>
      <c r="Q88" s="15" t="n">
        <f aca="false">$D88*CAPEX_нормы!V$18</f>
        <v>0</v>
      </c>
      <c r="R88" s="15" t="n">
        <f aca="false">$D88*CAPEX_нормы!W$18</f>
        <v>0</v>
      </c>
      <c r="S88" s="15" t="n">
        <f aca="false">$D88*CAPEX_нормы!X$18</f>
        <v>0</v>
      </c>
      <c r="T88" s="15" t="n">
        <f aca="false">$D88*CAPEX_нормы!Y$18</f>
        <v>0</v>
      </c>
      <c r="U88" s="15" t="n">
        <f aca="false">$D88*CAPEX_нормы!Z$18</f>
        <v>0</v>
      </c>
      <c r="V88" s="15" t="n">
        <f aca="false">$D88*CAPEX_нормы!AA$18</f>
        <v>0</v>
      </c>
      <c r="W88" s="15" t="n">
        <f aca="false">$D88*CAPEX_нормы!AB$18</f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</row>
    <row r="89" customFormat="false" ht="15" hidden="false" customHeight="false" outlineLevel="0" collapsed="false">
      <c r="B89" s="8" t="s">
        <v>394</v>
      </c>
      <c r="C89" s="8" t="s">
        <v>270</v>
      </c>
      <c r="D89" s="15" t="n">
        <f aca="false">CAPEX_нормы!$C$19*$D$41*INDEX(CAPEX_нормы!$E$19:$I$19,MATCH($D$16,CAPEX_нормы!$E$5:$I$5,0))*$D$28</f>
        <v>37.7039228118039</v>
      </c>
      <c r="E89" s="15" t="n">
        <f aca="false">$D89*CAPEX_нормы!J$19</f>
        <v>0</v>
      </c>
      <c r="F89" s="15" t="n">
        <f aca="false">$D89*CAPEX_нормы!K$19</f>
        <v>10.7725386022517</v>
      </c>
      <c r="G89" s="15" t="n">
        <f aca="false">$D89*CAPEX_нормы!L$19</f>
        <v>17.9542310037529</v>
      </c>
      <c r="H89" s="15" t="n">
        <f aca="false">$D89*CAPEX_нормы!M$19</f>
        <v>8.97711550187644</v>
      </c>
      <c r="I89" s="15" t="n">
        <f aca="false">$D89*CAPEX_нормы!N$19</f>
        <v>0</v>
      </c>
      <c r="J89" s="15" t="n">
        <f aca="false">$D89*CAPEX_нормы!O$19</f>
        <v>0</v>
      </c>
      <c r="K89" s="15" t="n">
        <f aca="false">$D89*CAPEX_нормы!P$19</f>
        <v>0</v>
      </c>
      <c r="L89" s="15" t="n">
        <f aca="false">$D89*CAPEX_нормы!Q$19</f>
        <v>0</v>
      </c>
      <c r="M89" s="15" t="n">
        <f aca="false">$D89*CAPEX_нормы!R$19</f>
        <v>0</v>
      </c>
      <c r="N89" s="15" t="n">
        <f aca="false">$D89*CAPEX_нормы!S$19</f>
        <v>0</v>
      </c>
      <c r="O89" s="15" t="n">
        <f aca="false">$D89*CAPEX_нормы!T$19</f>
        <v>0</v>
      </c>
      <c r="P89" s="15" t="n">
        <f aca="false">$D89*CAPEX_нормы!U$19</f>
        <v>0</v>
      </c>
      <c r="Q89" s="15" t="n">
        <f aca="false">$D89*CAPEX_нормы!V$19</f>
        <v>0</v>
      </c>
      <c r="R89" s="15" t="n">
        <f aca="false">$D89*CAPEX_нормы!W$19</f>
        <v>0</v>
      </c>
      <c r="S89" s="15" t="n">
        <f aca="false">$D89*CAPEX_нормы!X$19</f>
        <v>0</v>
      </c>
      <c r="T89" s="15" t="n">
        <f aca="false">$D89*CAPEX_нормы!Y$19</f>
        <v>0</v>
      </c>
      <c r="U89" s="15" t="n">
        <f aca="false">$D89*CAPEX_нормы!Z$19</f>
        <v>0</v>
      </c>
      <c r="V89" s="15" t="n">
        <f aca="false">$D89*CAPEX_нормы!AA$19</f>
        <v>0</v>
      </c>
      <c r="W89" s="15" t="n">
        <f aca="false">$D89*CAPEX_нормы!AB$19</f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</row>
    <row r="90" customFormat="false" ht="15" hidden="false" customHeight="false" outlineLevel="0" collapsed="false">
      <c r="B90" s="8" t="s">
        <v>395</v>
      </c>
      <c r="C90" s="8" t="s">
        <v>270</v>
      </c>
      <c r="D90" s="15" t="n">
        <f aca="false">CAPEX_нормы!$C$20*$D$41*INDEX(CAPEX_нормы!$E$20:$I$20,MATCH($D$16,CAPEX_нормы!$E$5:$I$5,0))*$D$28</f>
        <v>8.61803949984089</v>
      </c>
      <c r="E90" s="15" t="n">
        <f aca="false">$D90*CAPEX_нормы!J$20</f>
        <v>0</v>
      </c>
      <c r="F90" s="15" t="n">
        <f aca="false">$D90*CAPEX_нормы!K$20</f>
        <v>0</v>
      </c>
      <c r="G90" s="15" t="n">
        <f aca="false">$D90*CAPEX_нормы!L$20</f>
        <v>5.38627468740055</v>
      </c>
      <c r="H90" s="15" t="n">
        <f aca="false">$D90*CAPEX_нормы!M$20</f>
        <v>3.23176481244033</v>
      </c>
      <c r="I90" s="15" t="n">
        <f aca="false">$D90*CAPEX_нормы!N$20</f>
        <v>0</v>
      </c>
      <c r="J90" s="15" t="n">
        <f aca="false">$D90*CAPEX_нормы!O$20</f>
        <v>0</v>
      </c>
      <c r="K90" s="15" t="n">
        <f aca="false">$D90*CAPEX_нормы!P$20</f>
        <v>0</v>
      </c>
      <c r="L90" s="15" t="n">
        <f aca="false">$D90*CAPEX_нормы!Q$20</f>
        <v>0</v>
      </c>
      <c r="M90" s="15" t="n">
        <f aca="false">$D90*CAPEX_нормы!R$20</f>
        <v>0</v>
      </c>
      <c r="N90" s="15" t="n">
        <f aca="false">$D90*CAPEX_нормы!S$20</f>
        <v>0</v>
      </c>
      <c r="O90" s="15" t="n">
        <f aca="false">$D90*CAPEX_нормы!T$20</f>
        <v>0</v>
      </c>
      <c r="P90" s="15" t="n">
        <f aca="false">$D90*CAPEX_нормы!U$20</f>
        <v>0</v>
      </c>
      <c r="Q90" s="15" t="n">
        <f aca="false">$D90*CAPEX_нормы!V$20</f>
        <v>0</v>
      </c>
      <c r="R90" s="15" t="n">
        <f aca="false">$D90*CAPEX_нормы!W$20</f>
        <v>0</v>
      </c>
      <c r="S90" s="15" t="n">
        <f aca="false">$D90*CAPEX_нормы!X$20</f>
        <v>0</v>
      </c>
      <c r="T90" s="15" t="n">
        <f aca="false">$D90*CAPEX_нормы!Y$20</f>
        <v>0</v>
      </c>
      <c r="U90" s="15" t="n">
        <f aca="false">$D90*CAPEX_нормы!Z$20</f>
        <v>0</v>
      </c>
      <c r="V90" s="15" t="n">
        <f aca="false">$D90*CAPEX_нормы!AA$20</f>
        <v>0</v>
      </c>
      <c r="W90" s="15" t="n">
        <f aca="false">$D90*CAPEX_нормы!AB$20</f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0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15" t="n">
        <v>0</v>
      </c>
    </row>
    <row r="91" customFormat="false" ht="15" hidden="false" customHeight="false" outlineLevel="0" collapsed="false">
      <c r="B91" s="8" t="s">
        <v>396</v>
      </c>
      <c r="C91" s="8" t="s">
        <v>270</v>
      </c>
      <c r="D91" s="15" t="n">
        <f aca="false">CAPEX_нормы!$C$21*$D$41*INDEX(CAPEX_нормы!$E$21:$I$21,MATCH($D$16,CAPEX_нормы!$E$5:$I$5,0))*$D$28</f>
        <v>49.3741846345051</v>
      </c>
      <c r="E91" s="15" t="n">
        <f aca="false">$D91*CAPEX_нормы!J$21</f>
        <v>0</v>
      </c>
      <c r="F91" s="15" t="n">
        <f aca="false">$D91*CAPEX_нормы!K$21</f>
        <v>0</v>
      </c>
      <c r="G91" s="15" t="n">
        <f aca="false">$D91*CAPEX_нормы!L$21</f>
        <v>0</v>
      </c>
      <c r="H91" s="15" t="n">
        <f aca="false">$D91*CAPEX_нормы!M$21</f>
        <v>0</v>
      </c>
      <c r="I91" s="15" t="n">
        <f aca="false">$D91*CAPEX_нормы!N$21</f>
        <v>0</v>
      </c>
      <c r="J91" s="15" t="n">
        <f aca="false">$D91*CAPEX_нормы!O$21</f>
        <v>0</v>
      </c>
      <c r="K91" s="15" t="n">
        <f aca="false">$D91*CAPEX_нормы!P$21</f>
        <v>0</v>
      </c>
      <c r="L91" s="15" t="n">
        <f aca="false">$D91*CAPEX_нормы!Q$21</f>
        <v>0</v>
      </c>
      <c r="M91" s="15" t="n">
        <f aca="false">$D91*CAPEX_нормы!R$21</f>
        <v>0</v>
      </c>
      <c r="N91" s="15" t="n">
        <f aca="false">$D91*CAPEX_нормы!S$21</f>
        <v>0</v>
      </c>
      <c r="O91" s="15" t="n">
        <f aca="false">$D91*CAPEX_нормы!T$21</f>
        <v>13.4656732528147</v>
      </c>
      <c r="P91" s="15" t="n">
        <f aca="false">$D91*CAPEX_нормы!U$21</f>
        <v>17.9542310037529</v>
      </c>
      <c r="Q91" s="15" t="n">
        <f aca="false">$D91*CAPEX_нормы!V$21</f>
        <v>0</v>
      </c>
      <c r="R91" s="15" t="n">
        <f aca="false">$D91*CAPEX_нормы!W$21</f>
        <v>0</v>
      </c>
      <c r="S91" s="15" t="n">
        <f aca="false">$D91*CAPEX_нормы!X$21</f>
        <v>0</v>
      </c>
      <c r="T91" s="15" t="n">
        <f aca="false">$D91*CAPEX_нормы!Y$21</f>
        <v>0</v>
      </c>
      <c r="U91" s="15" t="n">
        <f aca="false">$D91*CAPEX_нормы!Z$21</f>
        <v>0</v>
      </c>
      <c r="V91" s="15" t="n">
        <f aca="false">$D91*CAPEX_нормы!AA$21</f>
        <v>0</v>
      </c>
      <c r="W91" s="15" t="n">
        <f aca="false">$D91*CAPEX_нормы!AB$21</f>
        <v>17.9542310037529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</row>
    <row r="92" customFormat="false" ht="15" hidden="false" customHeight="false" outlineLevel="0" collapsed="false">
      <c r="B92" s="8" t="s">
        <v>397</v>
      </c>
      <c r="C92" s="8" t="s">
        <v>270</v>
      </c>
      <c r="D92" s="15" t="n">
        <f aca="false">$D$32*$D$17*INDEX(CAPEX_нормы!$E$22:$I$22,MATCH($D$16,CAPEX_нормы!$E$5:$I$5,0))*$D$28</f>
        <v>10.75</v>
      </c>
      <c r="E92" s="15" t="n">
        <f aca="false">$D92*CAPEX_нормы!J$22</f>
        <v>0</v>
      </c>
      <c r="F92" s="15" t="n">
        <f aca="false">$D92*CAPEX_нормы!K$22</f>
        <v>0</v>
      </c>
      <c r="G92" s="15" t="n">
        <f aca="false">$D92*CAPEX_нормы!L$22</f>
        <v>0</v>
      </c>
      <c r="H92" s="15" t="n">
        <f aca="false">$D92*CAPEX_нормы!M$22</f>
        <v>0</v>
      </c>
      <c r="I92" s="15" t="n">
        <f aca="false">$D92*CAPEX_нормы!N$22</f>
        <v>4.3</v>
      </c>
      <c r="J92" s="15" t="n">
        <f aca="false">$D92*CAPEX_нормы!O$22</f>
        <v>6.45</v>
      </c>
      <c r="K92" s="15" t="n">
        <f aca="false">$D92*CAPEX_нормы!P$22</f>
        <v>0</v>
      </c>
      <c r="L92" s="15" t="n">
        <f aca="false">$D92*CAPEX_нормы!Q$22</f>
        <v>0</v>
      </c>
      <c r="M92" s="15" t="n">
        <f aca="false">$D92*CAPEX_нормы!R$22</f>
        <v>0</v>
      </c>
      <c r="N92" s="15" t="n">
        <f aca="false">$D92*CAPEX_нормы!S$22</f>
        <v>0</v>
      </c>
      <c r="O92" s="15" t="n">
        <f aca="false">$D92*CAPEX_нормы!T$22</f>
        <v>0</v>
      </c>
      <c r="P92" s="15" t="n">
        <f aca="false">$D92*CAPEX_нормы!U$22</f>
        <v>0</v>
      </c>
      <c r="Q92" s="15" t="n">
        <f aca="false">$D92*CAPEX_нормы!V$22</f>
        <v>0</v>
      </c>
      <c r="R92" s="15" t="n">
        <f aca="false">$D92*CAPEX_нормы!W$22</f>
        <v>0</v>
      </c>
      <c r="S92" s="15" t="n">
        <f aca="false">$D92*CAPEX_нормы!X$22</f>
        <v>0</v>
      </c>
      <c r="T92" s="15" t="n">
        <f aca="false">$D92*CAPEX_нормы!Y$22</f>
        <v>0</v>
      </c>
      <c r="U92" s="15" t="n">
        <f aca="false">$D92*CAPEX_нормы!Z$22</f>
        <v>0</v>
      </c>
      <c r="V92" s="15" t="n">
        <f aca="false">$D92*CAPEX_нормы!AA$22</f>
        <v>0</v>
      </c>
      <c r="W92" s="15" t="n">
        <f aca="false">$D92*CAPEX_нормы!AB$22</f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</row>
    <row r="93" customFormat="false" ht="15" hidden="false" customHeight="false" outlineLevel="0" collapsed="false">
      <c r="B93" s="3" t="s">
        <v>398</v>
      </c>
      <c r="C93" s="8" t="s">
        <v>270</v>
      </c>
      <c r="D93" s="15" t="n">
        <f aca="false">SUM(E93:AR93)</f>
        <v>362.294393226489</v>
      </c>
      <c r="E93" s="15" t="n">
        <f aca="false">SUM(E76:E92)</f>
        <v>15</v>
      </c>
      <c r="F93" s="15" t="n">
        <f aca="false">SUM(F76:F92)</f>
        <v>76.8988612978523</v>
      </c>
      <c r="G93" s="15" t="n">
        <f aca="false">SUM(G76:G92)</f>
        <v>112.805653442062</v>
      </c>
      <c r="H93" s="15" t="n">
        <f aca="false">SUM(H76:H92)</f>
        <v>80.3228860833972</v>
      </c>
      <c r="I93" s="15" t="n">
        <f aca="false">SUM(I76:I92)</f>
        <v>11.1571428571429</v>
      </c>
      <c r="J93" s="15" t="n">
        <f aca="false">SUM(J76:J92)</f>
        <v>6.45</v>
      </c>
      <c r="K93" s="15" t="n">
        <f aca="false">SUM(K76:K92)</f>
        <v>0</v>
      </c>
      <c r="L93" s="15" t="n">
        <f aca="false">SUM(L76:L92)</f>
        <v>0</v>
      </c>
      <c r="M93" s="15" t="n">
        <f aca="false">SUM(M76:M92)</f>
        <v>0</v>
      </c>
      <c r="N93" s="15" t="n">
        <f aca="false">SUM(N76:N92)</f>
        <v>2.57142857142857</v>
      </c>
      <c r="O93" s="15" t="n">
        <f aca="false">SUM(O76:O92)</f>
        <v>16.0371018242432</v>
      </c>
      <c r="P93" s="15" t="n">
        <f aca="false">SUM(P76:P92)</f>
        <v>20.5256595751815</v>
      </c>
      <c r="Q93" s="15" t="n">
        <f aca="false">SUM(Q76:Q92)</f>
        <v>2.57142857142857</v>
      </c>
      <c r="R93" s="15" t="n">
        <f aca="false">SUM(R76:R92)</f>
        <v>0</v>
      </c>
      <c r="S93" s="15" t="n">
        <f aca="false">SUM(S76:S92)</f>
        <v>0</v>
      </c>
      <c r="T93" s="15" t="n">
        <f aca="false">SUM(T76:T92)</f>
        <v>0</v>
      </c>
      <c r="U93" s="15" t="n">
        <f aca="false">SUM(U76:U92)</f>
        <v>0</v>
      </c>
      <c r="V93" s="15" t="n">
        <f aca="false">SUM(V76:V92)</f>
        <v>0</v>
      </c>
      <c r="W93" s="15" t="n">
        <f aca="false">SUM(W76:W92)</f>
        <v>17.9542310037529</v>
      </c>
      <c r="X93" s="15" t="n">
        <f aca="false">SUM(X76:X92)</f>
        <v>0</v>
      </c>
      <c r="Y93" s="15" t="n">
        <f aca="false">SUM(Y76:Y92)</f>
        <v>0</v>
      </c>
      <c r="Z93" s="15" t="n">
        <f aca="false">SUM(Z76:Z92)</f>
        <v>0</v>
      </c>
      <c r="AA93" s="15" t="n">
        <f aca="false">SUM(AA76:AA92)</f>
        <v>0</v>
      </c>
      <c r="AB93" s="15" t="n">
        <f aca="false">SUM(AB76:AB92)</f>
        <v>0</v>
      </c>
      <c r="AC93" s="15" t="n">
        <f aca="false">SUM(AC76:AC92)</f>
        <v>0</v>
      </c>
      <c r="AD93" s="15" t="n">
        <f aca="false">SUM(AD76:AD92)</f>
        <v>0</v>
      </c>
      <c r="AE93" s="15" t="n">
        <f aca="false">SUM(AE76:AE92)</f>
        <v>0</v>
      </c>
      <c r="AF93" s="15" t="n">
        <f aca="false">SUM(AF76:AF92)</f>
        <v>0</v>
      </c>
      <c r="AG93" s="15" t="n">
        <f aca="false">SUM(AG76:AG92)</f>
        <v>0</v>
      </c>
      <c r="AH93" s="15" t="n">
        <f aca="false">SUM(AH76:AH92)</f>
        <v>0</v>
      </c>
      <c r="AI93" s="15" t="n">
        <f aca="false">SUM(AI76:AI92)</f>
        <v>0</v>
      </c>
      <c r="AJ93" s="15" t="n">
        <f aca="false">SUM(AJ76:AJ92)</f>
        <v>0</v>
      </c>
      <c r="AK93" s="15" t="n">
        <f aca="false">SUM(AK76:AK92)</f>
        <v>0</v>
      </c>
      <c r="AL93" s="15" t="n">
        <f aca="false">SUM(AL76:AL92)</f>
        <v>0</v>
      </c>
      <c r="AM93" s="15" t="n">
        <f aca="false">SUM(AM76:AM92)</f>
        <v>0</v>
      </c>
      <c r="AN93" s="15" t="n">
        <f aca="false">SUM(AN76:AN92)</f>
        <v>0</v>
      </c>
      <c r="AO93" s="15" t="n">
        <f aca="false">SUM(AO76:AO92)</f>
        <v>0</v>
      </c>
      <c r="AP93" s="15" t="n">
        <f aca="false">SUM(AP76:AP92)</f>
        <v>0</v>
      </c>
      <c r="AQ93" s="15" t="n">
        <f aca="false">SUM(AQ76:AQ92)</f>
        <v>0</v>
      </c>
      <c r="AR93" s="15" t="n">
        <f aca="false">SUM(AR76:AR92)</f>
        <v>0</v>
      </c>
    </row>
    <row r="94" customFormat="false" ht="15" hidden="false" customHeight="false" outlineLevel="0" collapsed="false">
      <c r="B94" s="8" t="s">
        <v>399</v>
      </c>
      <c r="C94" s="8" t="s">
        <v>270</v>
      </c>
      <c r="E94" s="15" t="n">
        <f aca="false">E93</f>
        <v>15</v>
      </c>
      <c r="F94" s="15" t="n">
        <f aca="false">E94+F93</f>
        <v>91.8988612978523</v>
      </c>
      <c r="G94" s="15" t="n">
        <f aca="false">F94+G93</f>
        <v>204.704514739914</v>
      </c>
      <c r="H94" s="15" t="n">
        <f aca="false">G94+H93</f>
        <v>285.027400823311</v>
      </c>
      <c r="I94" s="15" t="n">
        <f aca="false">H94+I93</f>
        <v>296.184543680454</v>
      </c>
      <c r="J94" s="15" t="n">
        <f aca="false">I94+J93</f>
        <v>302.634543680454</v>
      </c>
      <c r="K94" s="15" t="n">
        <f aca="false">J94+K93</f>
        <v>302.634543680454</v>
      </c>
      <c r="L94" s="15" t="n">
        <f aca="false">K94+L93</f>
        <v>302.634543680454</v>
      </c>
      <c r="M94" s="15" t="n">
        <f aca="false">L94+M93</f>
        <v>302.634543680454</v>
      </c>
      <c r="N94" s="15" t="n">
        <f aca="false">M94+N93</f>
        <v>305.205972251882</v>
      </c>
      <c r="O94" s="15" t="n">
        <f aca="false">N94+O93</f>
        <v>321.243074076126</v>
      </c>
      <c r="P94" s="15" t="n">
        <f aca="false">O94+P93</f>
        <v>341.768733651307</v>
      </c>
      <c r="Q94" s="15" t="n">
        <f aca="false">P94+Q93</f>
        <v>344.340162222736</v>
      </c>
      <c r="R94" s="15" t="n">
        <f aca="false">Q94+R93</f>
        <v>344.340162222736</v>
      </c>
      <c r="S94" s="15" t="n">
        <f aca="false">R94+S93</f>
        <v>344.340162222736</v>
      </c>
      <c r="T94" s="15" t="n">
        <f aca="false">S94+T93</f>
        <v>344.340162222736</v>
      </c>
      <c r="U94" s="15" t="n">
        <f aca="false">T94+U93</f>
        <v>344.340162222736</v>
      </c>
      <c r="V94" s="15" t="n">
        <f aca="false">U94+V93</f>
        <v>344.340162222736</v>
      </c>
      <c r="W94" s="15" t="n">
        <f aca="false">V94+W93</f>
        <v>362.294393226489</v>
      </c>
      <c r="X94" s="15" t="n">
        <f aca="false">W94+X93</f>
        <v>362.294393226489</v>
      </c>
      <c r="Y94" s="15" t="n">
        <f aca="false">X94+Y93</f>
        <v>362.294393226489</v>
      </c>
      <c r="Z94" s="15" t="n">
        <f aca="false">Y94+Z93</f>
        <v>362.294393226489</v>
      </c>
      <c r="AA94" s="15" t="n">
        <f aca="false">Z94+AA93</f>
        <v>362.294393226489</v>
      </c>
      <c r="AB94" s="15" t="n">
        <f aca="false">AA94+AB93</f>
        <v>362.294393226489</v>
      </c>
      <c r="AC94" s="15" t="n">
        <f aca="false">AB94+AC93</f>
        <v>362.294393226489</v>
      </c>
      <c r="AD94" s="15" t="n">
        <f aca="false">AC94+AD93</f>
        <v>362.294393226489</v>
      </c>
      <c r="AE94" s="15" t="n">
        <f aca="false">AD94+AE93</f>
        <v>362.294393226489</v>
      </c>
      <c r="AF94" s="15" t="n">
        <f aca="false">AE94+AF93</f>
        <v>362.294393226489</v>
      </c>
      <c r="AG94" s="15" t="n">
        <f aca="false">AF94+AG93</f>
        <v>362.294393226489</v>
      </c>
      <c r="AH94" s="15" t="n">
        <f aca="false">AG94+AH93</f>
        <v>362.294393226489</v>
      </c>
      <c r="AI94" s="15" t="n">
        <f aca="false">AH94+AI93</f>
        <v>362.294393226489</v>
      </c>
      <c r="AJ94" s="15" t="n">
        <f aca="false">AI94+AJ93</f>
        <v>362.294393226489</v>
      </c>
      <c r="AK94" s="15" t="n">
        <f aca="false">AJ94+AK93</f>
        <v>362.294393226489</v>
      </c>
      <c r="AL94" s="15" t="n">
        <f aca="false">AK94+AL93</f>
        <v>362.294393226489</v>
      </c>
      <c r="AM94" s="15" t="n">
        <f aca="false">AL94+AM93</f>
        <v>362.294393226489</v>
      </c>
      <c r="AN94" s="15" t="n">
        <f aca="false">AM94+AN93</f>
        <v>362.294393226489</v>
      </c>
      <c r="AO94" s="15" t="n">
        <f aca="false">AN94+AO93</f>
        <v>362.294393226489</v>
      </c>
      <c r="AP94" s="15" t="n">
        <f aca="false">AO94+AP93</f>
        <v>362.294393226489</v>
      </c>
      <c r="AQ94" s="15" t="n">
        <f aca="false">AP94+AQ93</f>
        <v>362.294393226489</v>
      </c>
      <c r="AR94" s="15" t="n">
        <f aca="false">AQ94+AR93</f>
        <v>362.294393226489</v>
      </c>
    </row>
    <row r="95" customFormat="false" ht="15" hidden="false" customHeight="false" outlineLevel="0" collapsed="false">
      <c r="B95" s="42" t="s">
        <v>400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customFormat="false" ht="15" hidden="false" customHeight="false" outlineLevel="0" collapsed="false">
      <c r="B96" s="8" t="s">
        <v>401</v>
      </c>
      <c r="C96" s="8" t="s">
        <v>264</v>
      </c>
      <c r="E96" s="40" t="n">
        <f aca="false">IF(E52&gt;0,1,0)</f>
        <v>0</v>
      </c>
      <c r="F96" s="40" t="n">
        <f aca="false">IF(F52&gt;0,1,0)</f>
        <v>0</v>
      </c>
      <c r="G96" s="40" t="n">
        <f aca="false">IF(G52&gt;0,1,0)</f>
        <v>0</v>
      </c>
      <c r="H96" s="40" t="n">
        <f aca="false">IF(H52&gt;0,1,0)</f>
        <v>0</v>
      </c>
      <c r="I96" s="40" t="n">
        <f aca="false">IF(I52&gt;0,1,0)</f>
        <v>1</v>
      </c>
      <c r="J96" s="40" t="n">
        <f aca="false">IF(J52&gt;0,1,0)</f>
        <v>1</v>
      </c>
      <c r="K96" s="40" t="n">
        <f aca="false">IF(K52&gt;0,1,0)</f>
        <v>1</v>
      </c>
      <c r="L96" s="40" t="n">
        <f aca="false">IF(L52&gt;0,1,0)</f>
        <v>1</v>
      </c>
      <c r="M96" s="40" t="n">
        <f aca="false">IF(M52&gt;0,1,0)</f>
        <v>1</v>
      </c>
      <c r="N96" s="40" t="n">
        <f aca="false">IF(N52&gt;0,1,0)</f>
        <v>1</v>
      </c>
      <c r="O96" s="40" t="n">
        <f aca="false">IF(O52&gt;0,1,0)</f>
        <v>1</v>
      </c>
      <c r="P96" s="40" t="n">
        <f aca="false">IF(P52&gt;0,1,0)</f>
        <v>1</v>
      </c>
      <c r="Q96" s="40" t="n">
        <f aca="false">IF(Q52&gt;0,1,0)</f>
        <v>1</v>
      </c>
      <c r="R96" s="40" t="n">
        <f aca="false">IF(R52&gt;0,1,0)</f>
        <v>1</v>
      </c>
      <c r="S96" s="40" t="n">
        <f aca="false">IF(S52&gt;0,1,0)</f>
        <v>1</v>
      </c>
      <c r="T96" s="40" t="n">
        <f aca="false">IF(T52&gt;0,1,0)</f>
        <v>1</v>
      </c>
      <c r="U96" s="40" t="n">
        <f aca="false">IF(U52&gt;0,1,0)</f>
        <v>1</v>
      </c>
      <c r="V96" s="40" t="n">
        <f aca="false">IF(V52&gt;0,1,0)</f>
        <v>1</v>
      </c>
      <c r="W96" s="40" t="n">
        <f aca="false">IF(W52&gt;0,1,0)</f>
        <v>1</v>
      </c>
      <c r="X96" s="40" t="n">
        <f aca="false">IF(X52&gt;0,1,0)</f>
        <v>1</v>
      </c>
      <c r="Y96" s="40" t="n">
        <f aca="false">IF(Y52&gt;0,1,0)</f>
        <v>1</v>
      </c>
      <c r="Z96" s="40" t="n">
        <f aca="false">IF(Z52&gt;0,1,0)</f>
        <v>1</v>
      </c>
      <c r="AA96" s="40" t="n">
        <f aca="false">IF(AA52&gt;0,1,0)</f>
        <v>1</v>
      </c>
      <c r="AB96" s="40" t="n">
        <f aca="false">IF(AB52&gt;0,1,0)</f>
        <v>1</v>
      </c>
      <c r="AC96" s="40" t="n">
        <f aca="false">IF(AC52&gt;0,1,0)</f>
        <v>1</v>
      </c>
      <c r="AD96" s="40" t="n">
        <f aca="false">IF(AD52&gt;0,1,0)</f>
        <v>1</v>
      </c>
      <c r="AE96" s="40" t="n">
        <f aca="false">IF(AE52&gt;0,1,0)</f>
        <v>1</v>
      </c>
      <c r="AF96" s="40" t="n">
        <f aca="false">IF(AF52&gt;0,1,0)</f>
        <v>1</v>
      </c>
      <c r="AG96" s="40" t="n">
        <f aca="false">IF(AG52&gt;0,1,0)</f>
        <v>1</v>
      </c>
      <c r="AH96" s="40" t="n">
        <f aca="false">IF(AH52&gt;0,1,0)</f>
        <v>1</v>
      </c>
      <c r="AI96" s="40" t="n">
        <f aca="false">IF(AI52&gt;0,1,0)</f>
        <v>1</v>
      </c>
      <c r="AJ96" s="40" t="n">
        <f aca="false">IF(AJ52&gt;0,1,0)</f>
        <v>1</v>
      </c>
      <c r="AK96" s="40" t="n">
        <f aca="false">IF(AK52&gt;0,1,0)</f>
        <v>1</v>
      </c>
      <c r="AL96" s="40" t="n">
        <f aca="false">IF(AL52&gt;0,1,0)</f>
        <v>1</v>
      </c>
      <c r="AM96" s="40" t="n">
        <f aca="false">IF(AM52&gt;0,1,0)</f>
        <v>1</v>
      </c>
      <c r="AN96" s="40" t="n">
        <f aca="false">IF(AN52&gt;0,1,0)</f>
        <v>1</v>
      </c>
      <c r="AO96" s="40" t="n">
        <f aca="false">IF(AO52&gt;0,1,0)</f>
        <v>1</v>
      </c>
      <c r="AP96" s="40" t="n">
        <f aca="false">IF(AP52&gt;0,1,0)</f>
        <v>1</v>
      </c>
      <c r="AQ96" s="40" t="n">
        <f aca="false">IF(AQ52&gt;0,1,0)</f>
        <v>1</v>
      </c>
      <c r="AR96" s="40" t="n">
        <f aca="false">IF(AR52&gt;0,1,0)</f>
        <v>1</v>
      </c>
    </row>
    <row r="97" customFormat="false" ht="15" hidden="false" customHeight="false" outlineLevel="0" collapsed="false">
      <c r="B97" s="8" t="s">
        <v>402</v>
      </c>
      <c r="C97" s="8" t="s">
        <v>270</v>
      </c>
      <c r="D97" s="15" t="n">
        <f aca="false">SUM(E97:AR97)</f>
        <v>248.834115167095</v>
      </c>
      <c r="E97" s="15" t="n">
        <f aca="false">E96*Исходные!$C$33*E94+E52*Исходные!$C$34/1000+E62*Исходные!$C$35/1000+(E61+E62)*Исходные!$C$36/1000+IF(E59&gt;0,$D$43*Исходные!$C$41/1000,0)+E96*$D$33</f>
        <v>0</v>
      </c>
      <c r="F97" s="15" t="n">
        <f aca="false">F96*Исходные!$C$33*F94+F52*Исходные!$C$34/1000+F62*Исходные!$C$35/1000+(F61+F62)*Исходные!$C$36/1000+IF(F59&gt;0,$D$43*Исходные!$C$41/1000,0)+F96*$D$33</f>
        <v>0</v>
      </c>
      <c r="G97" s="15" t="n">
        <f aca="false">G96*Исходные!$C$33*G94+G52*Исходные!$C$34/1000+G62*Исходные!$C$35/1000+(G61+G62)*Исходные!$C$36/1000+IF(G59&gt;0,$D$43*Исходные!$C$41/1000,0)+G96*$D$33</f>
        <v>0</v>
      </c>
      <c r="H97" s="15" t="n">
        <f aca="false">H96*Исходные!$C$33*H94+H52*Исходные!$C$34/1000+H62*Исходные!$C$35/1000+(H61+H62)*Исходные!$C$36/1000+IF(H59&gt;0,$D$43*Исходные!$C$41/1000,0)+H96*$D$33</f>
        <v>0</v>
      </c>
      <c r="I97" s="15" t="n">
        <f aca="false">I96*Исходные!$C$33*I94+I52*Исходные!$C$34/1000+I62*Исходные!$C$35/1000+(I61+I62)*Исходные!$C$36/1000+IF(I59&gt;0,$D$43*Исходные!$C$41/1000,0)+I96*$D$33</f>
        <v>5.17242772388713</v>
      </c>
      <c r="J97" s="15" t="n">
        <f aca="false">J96*Исходные!$C$33*J94+J52*Исходные!$C$34/1000+J62*Исходные!$C$35/1000+(J61+J62)*Исходные!$C$36/1000+IF(J59&gt;0,$D$43*Исходные!$C$41/1000,0)+J96*$D$33</f>
        <v>5.99883729256745</v>
      </c>
      <c r="K97" s="15" t="n">
        <f aca="false">K96*Исходные!$C$33*K94+K52*Исходные!$C$34/1000+K62*Исходные!$C$35/1000+(K61+K62)*Исходные!$C$36/1000+IF(K59&gt;0,$D$43*Исходные!$C$41/1000,0)+K96*$D$33</f>
        <v>7.00524254314013</v>
      </c>
      <c r="L97" s="15" t="n">
        <f aca="false">L96*Исходные!$C$33*L94+L52*Исходные!$C$34/1000+L62*Исходные!$C$35/1000+(L61+L62)*Исходные!$C$36/1000+IF(L59&gt;0,$D$43*Исходные!$C$41/1000,0)+L96*$D$33</f>
        <v>7.00524254314013</v>
      </c>
      <c r="M97" s="15" t="n">
        <f aca="false">M96*Исходные!$C$33*M94+M52*Исходные!$C$34/1000+M62*Исходные!$C$35/1000+(M61+M62)*Исходные!$C$36/1000+IF(M59&gt;0,$D$43*Исходные!$C$41/1000,0)+M96*$D$33</f>
        <v>7.00524254314013</v>
      </c>
      <c r="N97" s="15" t="n">
        <f aca="false">N96*Исходные!$C$33*N94+N52*Исходные!$C$34/1000+N62*Исходные!$C$35/1000+(N61+N62)*Исходные!$C$36/1000+IF(N59&gt;0,$D$43*Исходные!$C$41/1000,0)+N96*$D$33</f>
        <v>7.04381397171155</v>
      </c>
      <c r="O97" s="15" t="n">
        <f aca="false">O96*Исходные!$C$33*O94+O52*Исходные!$C$34/1000+O62*Исходные!$C$35/1000+(O61+O62)*Исходные!$C$36/1000+IF(O59&gt;0,$D$43*Исходные!$C$41/1000,0)+O96*$D$33</f>
        <v>7.2843704990752</v>
      </c>
      <c r="P97" s="15" t="n">
        <f aca="false">P96*Исходные!$C$33*P94+P52*Исходные!$C$34/1000+P62*Исходные!$C$35/1000+(P61+P62)*Исходные!$C$36/1000+IF(P59&gt;0,$D$43*Исходные!$C$41/1000,0)+P96*$D$33</f>
        <v>7.58853528873907</v>
      </c>
      <c r="Q97" s="15" t="n">
        <f aca="false">Q96*Исходные!$C$33*Q94+Q52*Исходные!$C$34/1000+Q62*Исходные!$C$35/1000+(Q61+Q62)*Исходные!$C$36/1000+IF(Q59&gt;0,$D$43*Исходные!$C$41/1000,0)+Q96*$D$33</f>
        <v>7.6271067173105</v>
      </c>
      <c r="R97" s="15" t="n">
        <f aca="false">R96*Исходные!$C$33*R94+R52*Исходные!$C$34/1000+R62*Исходные!$C$35/1000+(R61+R62)*Исходные!$C$36/1000+IF(R59&gt;0,$D$43*Исходные!$C$41/1000,0)+R96*$D$33</f>
        <v>7.6271067173105</v>
      </c>
      <c r="S97" s="15" t="n">
        <f aca="false">S96*Исходные!$C$33*S94+S52*Исходные!$C$34/1000+S62*Исходные!$C$35/1000+(S61+S62)*Исходные!$C$36/1000+IF(S59&gt;0,$D$43*Исходные!$C$41/1000,0)+S96*$D$33</f>
        <v>7.6271067173105</v>
      </c>
      <c r="T97" s="15" t="n">
        <f aca="false">T96*Исходные!$C$33*T94+T52*Исходные!$C$34/1000+T62*Исходные!$C$35/1000+(T61+T62)*Исходные!$C$36/1000+IF(T59&gt;0,$D$43*Исходные!$C$41/1000,0)+T96*$D$33</f>
        <v>7.6271067173105</v>
      </c>
      <c r="U97" s="15" t="n">
        <f aca="false">U96*Исходные!$C$33*U94+U52*Исходные!$C$34/1000+U62*Исходные!$C$35/1000+(U61+U62)*Исходные!$C$36/1000+IF(U59&gt;0,$D$43*Исходные!$C$41/1000,0)+U96*$D$33</f>
        <v>7.6271067173105</v>
      </c>
      <c r="V97" s="15" t="n">
        <f aca="false">V96*Исходные!$C$33*V94+V52*Исходные!$C$34/1000+V62*Исходные!$C$35/1000+(V61+V62)*Исходные!$C$36/1000+IF(V59&gt;0,$D$43*Исходные!$C$41/1000,0)+V96*$D$33</f>
        <v>7.48590719629426</v>
      </c>
      <c r="W97" s="15" t="n">
        <f aca="false">W96*Исходные!$C$33*W94+W52*Исходные!$C$34/1000+W62*Исходные!$C$35/1000+(W61+W62)*Исходные!$C$36/1000+IF(W59&gt;0,$D$43*Исходные!$C$41/1000,0)+W96*$D$33</f>
        <v>7.62379755568219</v>
      </c>
      <c r="X97" s="15" t="n">
        <f aca="false">X96*Исходные!$C$33*X94+X52*Исходные!$C$34/1000+X62*Исходные!$C$35/1000+(X61+X62)*Исходные!$C$36/1000+IF(X59&gt;0,$D$43*Исходные!$C$41/1000,0)+X96*$D$33</f>
        <v>7.50147396294469</v>
      </c>
      <c r="Y97" s="15" t="n">
        <f aca="false">Y96*Исходные!$C$33*Y94+Y52*Исходные!$C$34/1000+Y62*Исходные!$C$35/1000+(Y61+Y62)*Исходные!$C$36/1000+IF(Y59&gt;0,$D$43*Исходные!$C$41/1000,0)+Y96*$D$33</f>
        <v>7.38761984829635</v>
      </c>
      <c r="Z97" s="15" t="n">
        <f aca="false">Z96*Исходные!$C$33*Z94+Z52*Исходные!$C$34/1000+Z62*Исходные!$C$35/1000+(Z61+Z62)*Исходные!$C$36/1000+IF(Z59&gt;0,$D$43*Исходные!$C$41/1000,0)+Z96*$D$33</f>
        <v>7.28164879943927</v>
      </c>
      <c r="AA97" s="15" t="n">
        <f aca="false">AA96*Исходные!$C$33*AA94+AA52*Исходные!$C$34/1000+AA62*Исходные!$C$35/1000+(AA61+AA62)*Исходные!$C$36/1000+IF(AA59&gt;0,$D$43*Исходные!$C$41/1000,0)+AA96*$D$33</f>
        <v>7.18301500626846</v>
      </c>
      <c r="AB97" s="15" t="n">
        <f aca="false">AB96*Исходные!$C$33*AB94+AB52*Исходные!$C$34/1000+AB62*Исходные!$C$35/1000+(AB61+AB62)*Исходные!$C$36/1000+IF(AB59&gt;0,$D$43*Исходные!$C$41/1000,0)+AB96*$D$33</f>
        <v>7.09121044964488</v>
      </c>
      <c r="AC97" s="15" t="n">
        <f aca="false">AC96*Исходные!$C$33*AC94+AC52*Исходные!$C$34/1000+AC62*Исходные!$C$35/1000+(AC61+AC62)*Исходные!$C$36/1000+IF(AC59&gt;0,$D$43*Исходные!$C$41/1000,0)+AC96*$D$33</f>
        <v>7.00576228481299</v>
      </c>
      <c r="AD97" s="15" t="n">
        <f aca="false">AD96*Исходные!$C$33*AD94+AD52*Исходные!$C$34/1000+AD62*Исходные!$C$35/1000+(AD61+AD62)*Исходные!$C$36/1000+IF(AD59&gt;0,$D$43*Исходные!$C$41/1000,0)+AD96*$D$33</f>
        <v>6.92623040598616</v>
      </c>
      <c r="AE97" s="15" t="n">
        <f aca="false">AE96*Исходные!$C$33*AE94+AE52*Исходные!$C$34/1000+AE62*Исходные!$C$35/1000+(AE61+AE62)*Исходные!$C$36/1000+IF(AE59&gt;0,$D$43*Исходные!$C$41/1000,0)+AE96*$D$33</f>
        <v>6.85220517955596</v>
      </c>
      <c r="AF97" s="15" t="n">
        <f aca="false">AF96*Исходные!$C$33*AF94+AF52*Исходные!$C$34/1000+AF62*Исходные!$C$35/1000+(AF61+AF62)*Исходные!$C$36/1000+IF(AF59&gt;0,$D$43*Исходные!$C$41/1000,0)+AF96*$D$33</f>
        <v>6.78330533425024</v>
      </c>
      <c r="AG97" s="15" t="n">
        <f aca="false">AG96*Исходные!$C$33*AG94+AG52*Исходные!$C$34/1000+AG62*Исходные!$C$35/1000+(AG61+AG62)*Исходные!$C$36/1000+IF(AG59&gt;0,$D$43*Исходные!$C$41/1000,0)+AG96*$D$33</f>
        <v>6.71917599737305</v>
      </c>
      <c r="AH97" s="15" t="n">
        <f aca="false">AH96*Исходные!$C$33*AH94+AH52*Исходные!$C$34/1000+AH62*Исходные!$C$35/1000+(AH61+AH62)*Исходные!$C$36/1000+IF(AH59&gt;0,$D$43*Исходные!$C$41/1000,0)+AH96*$D$33</f>
        <v>6.65948686701202</v>
      </c>
      <c r="AI97" s="15" t="n">
        <f aca="false">AI96*Исходные!$C$33*AI94+AI52*Исходные!$C$34/1000+AI62*Исходные!$C$35/1000+(AI61+AI62)*Исходные!$C$36/1000+IF(AI59&gt;0,$D$43*Исходные!$C$41/1000,0)+AI96*$D$33</f>
        <v>6.60393051079896</v>
      </c>
      <c r="AJ97" s="15" t="n">
        <f aca="false">AJ96*Исходные!$C$33*AJ94+AJ52*Исходные!$C$34/1000+AJ62*Исходные!$C$35/1000+(AJ61+AJ62)*Исходные!$C$36/1000+IF(AJ59&gt;0,$D$43*Исходные!$C$41/1000,0)+AJ96*$D$33</f>
        <v>6.55222078246144</v>
      </c>
      <c r="AK97" s="15" t="n">
        <f aca="false">AK96*Исходные!$C$33*AK94+AK52*Исходные!$C$34/1000+AK62*Исходные!$C$35/1000+(AK61+AK62)*Исходные!$C$36/1000+IF(AK59&gt;0,$D$43*Исходные!$C$41/1000,0)+AK96*$D$33</f>
        <v>6.50409134800958</v>
      </c>
      <c r="AL97" s="15" t="n">
        <f aca="false">AL96*Исходные!$C$33*AL94+AL52*Исходные!$C$34/1000+AL62*Исходные!$C$35/1000+(AL61+AL62)*Исходные!$C$36/1000+IF(AL59&gt;0,$D$43*Исходные!$C$41/1000,0)+AL96*$D$33</f>
        <v>6.45929431396725</v>
      </c>
      <c r="AM97" s="15" t="n">
        <f aca="false">AM96*Исходные!$C$33*AM94+AM52*Исходные!$C$34/1000+AM62*Исходные!$C$35/1000+(AM61+AM62)*Исходные!$C$36/1000+IF(AM59&gt;0,$D$43*Исходные!$C$41/1000,0)+AM96*$D$33</f>
        <v>6.41759895058214</v>
      </c>
      <c r="AN97" s="15" t="n">
        <f aca="false">AN96*Исходные!$C$33*AN94+AN52*Исходные!$C$34/1000+AN62*Исходные!$C$35/1000+(AN61+AN62)*Исходные!$C$36/1000+IF(AN59&gt;0,$D$43*Исходные!$C$41/1000,0)+AN96*$D$33</f>
        <v>6.37879050343867</v>
      </c>
      <c r="AO97" s="15" t="n">
        <f aca="false">AO96*Исходные!$C$33*AO94+AO52*Исходные!$C$34/1000+AO62*Исходные!$C$35/1000+(AO61+AO62)*Исходные!$C$36/1000+IF(AO59&gt;0,$D$43*Исходные!$C$41/1000,0)+AO96*$D$33</f>
        <v>6.34266908735274</v>
      </c>
      <c r="AP97" s="15" t="n">
        <f aca="false">AP96*Исходные!$C$33*AP94+AP52*Исходные!$C$34/1000+AP62*Исходные!$C$35/1000+(AP61+AP62)*Исходные!$C$36/1000+IF(AP59&gt;0,$D$43*Исходные!$C$41/1000,0)+AP96*$D$33</f>
        <v>6.30904865685138</v>
      </c>
      <c r="AQ97" s="15" t="n">
        <f aca="false">AQ96*Исходные!$C$33*AQ94+AQ52*Исходные!$C$34/1000+AQ62*Исходные!$C$35/1000+(AQ61+AQ62)*Исходные!$C$36/1000+IF(AQ59&gt;0,$D$43*Исходные!$C$41/1000,0)+AQ96*$D$33</f>
        <v>6.2777560479346</v>
      </c>
      <c r="AR97" s="15" t="n">
        <f aca="false">AR96*Исходные!$C$33*AR94+AR52*Исходные!$C$34/1000+AR62*Исходные!$C$35/1000+(AR61+AR62)*Исходные!$C$36/1000+IF(AR59&gt;0,$D$43*Исходные!$C$41/1000,0)+AR96*$D$33</f>
        <v>6.2486300861841</v>
      </c>
    </row>
    <row r="98" customFormat="false" ht="15" hidden="false" customHeight="false" outlineLevel="0" collapsed="false">
      <c r="B98" s="8" t="s">
        <v>403</v>
      </c>
      <c r="C98" s="8" t="s">
        <v>270</v>
      </c>
      <c r="D98" s="15" t="n">
        <f aca="false">SUM(E98:AR98)</f>
        <v>362.294393226489</v>
      </c>
      <c r="E98" s="27" t="n">
        <v>0</v>
      </c>
      <c r="F98" s="27" t="n">
        <v>0</v>
      </c>
      <c r="G98" s="27" t="n">
        <v>0</v>
      </c>
      <c r="H98" s="27" t="n">
        <v>0</v>
      </c>
      <c r="I98" s="15" t="n">
        <f aca="false">SUM(E93:H93)</f>
        <v>285.027400823311</v>
      </c>
      <c r="J98" s="15" t="n">
        <f aca="false">I93</f>
        <v>11.1571428571429</v>
      </c>
      <c r="K98" s="15" t="n">
        <f aca="false">J93</f>
        <v>6.45</v>
      </c>
      <c r="L98" s="15" t="n">
        <f aca="false">K93</f>
        <v>0</v>
      </c>
      <c r="M98" s="15" t="n">
        <f aca="false">L93</f>
        <v>0</v>
      </c>
      <c r="N98" s="15" t="n">
        <f aca="false">M93</f>
        <v>0</v>
      </c>
      <c r="O98" s="15" t="n">
        <f aca="false">N93</f>
        <v>2.57142857142857</v>
      </c>
      <c r="P98" s="15" t="n">
        <f aca="false">O93</f>
        <v>16.0371018242432</v>
      </c>
      <c r="Q98" s="15" t="n">
        <f aca="false">P93</f>
        <v>20.5256595751815</v>
      </c>
      <c r="R98" s="15" t="n">
        <f aca="false">Q93</f>
        <v>2.57142857142857</v>
      </c>
      <c r="S98" s="15" t="n">
        <f aca="false">R93</f>
        <v>0</v>
      </c>
      <c r="T98" s="15" t="n">
        <f aca="false">S93</f>
        <v>0</v>
      </c>
      <c r="U98" s="15" t="n">
        <f aca="false">T93</f>
        <v>0</v>
      </c>
      <c r="V98" s="15" t="n">
        <f aca="false">U93</f>
        <v>0</v>
      </c>
      <c r="W98" s="15" t="n">
        <f aca="false">V93</f>
        <v>0</v>
      </c>
      <c r="X98" s="15" t="n">
        <f aca="false">W93</f>
        <v>17.9542310037529</v>
      </c>
      <c r="Y98" s="15" t="n">
        <f aca="false">X93</f>
        <v>0</v>
      </c>
      <c r="Z98" s="15" t="n">
        <f aca="false">Y93</f>
        <v>0</v>
      </c>
      <c r="AA98" s="15" t="n">
        <f aca="false">Z93</f>
        <v>0</v>
      </c>
      <c r="AB98" s="15" t="n">
        <f aca="false">AA93</f>
        <v>0</v>
      </c>
      <c r="AC98" s="15" t="n">
        <f aca="false">AB93</f>
        <v>0</v>
      </c>
      <c r="AD98" s="15" t="n">
        <f aca="false">AC93</f>
        <v>0</v>
      </c>
      <c r="AE98" s="15" t="n">
        <f aca="false">AD93</f>
        <v>0</v>
      </c>
      <c r="AF98" s="15" t="n">
        <f aca="false">AE93</f>
        <v>0</v>
      </c>
      <c r="AG98" s="15" t="n">
        <f aca="false">AF93</f>
        <v>0</v>
      </c>
      <c r="AH98" s="15" t="n">
        <f aca="false">AG93</f>
        <v>0</v>
      </c>
      <c r="AI98" s="15" t="n">
        <f aca="false">AH93</f>
        <v>0</v>
      </c>
      <c r="AJ98" s="15" t="n">
        <f aca="false">AI93</f>
        <v>0</v>
      </c>
      <c r="AK98" s="15" t="n">
        <f aca="false">AJ93</f>
        <v>0</v>
      </c>
      <c r="AL98" s="15" t="n">
        <f aca="false">AK93</f>
        <v>0</v>
      </c>
      <c r="AM98" s="15" t="n">
        <f aca="false">AL93</f>
        <v>0</v>
      </c>
      <c r="AN98" s="15" t="n">
        <f aca="false">AM93</f>
        <v>0</v>
      </c>
      <c r="AO98" s="15" t="n">
        <f aca="false">AN93</f>
        <v>0</v>
      </c>
      <c r="AP98" s="15" t="n">
        <f aca="false">AO93</f>
        <v>0</v>
      </c>
      <c r="AQ98" s="15" t="n">
        <f aca="false">AP93</f>
        <v>0</v>
      </c>
      <c r="AR98" s="15" t="n">
        <f aca="false">AQ93</f>
        <v>0</v>
      </c>
    </row>
    <row r="99" customFormat="false" ht="15" hidden="false" customHeight="false" outlineLevel="0" collapsed="false">
      <c r="B99" s="8" t="s">
        <v>404</v>
      </c>
      <c r="C99" s="8" t="s">
        <v>270</v>
      </c>
      <c r="D99" s="15" t="n">
        <f aca="false">SUM(E99:AR99)</f>
        <v>362.294393226489</v>
      </c>
      <c r="E99" s="15" t="n">
        <f aca="true">SUM(OFFSET(E98,0,-MIN(Исходные!$C$32-1,E47),1,MIN(Исходные!$C$32,E47+1)))/Исходные!$C$32</f>
        <v>0</v>
      </c>
      <c r="F99" s="15" t="n">
        <f aca="true">SUM(OFFSET(F98,0,-MIN(Исходные!$C$32-1,F47),1,MIN(Исходные!$C$32,F47+1)))/Исходные!$C$32</f>
        <v>0</v>
      </c>
      <c r="G99" s="15" t="n">
        <f aca="true">SUM(OFFSET(G98,0,-MIN(Исходные!$C$32-1,G47),1,MIN(Исходные!$C$32,G47+1)))/Исходные!$C$32</f>
        <v>0</v>
      </c>
      <c r="H99" s="15" t="n">
        <f aca="true">SUM(OFFSET(H98,0,-MIN(Исходные!$C$32-1,H47),1,MIN(Исходные!$C$32,H47+1)))/Исходные!$C$32</f>
        <v>0</v>
      </c>
      <c r="I99" s="15" t="n">
        <f aca="true">SUM(OFFSET(I98,0,-MIN(Исходные!$C$32-1,I47),1,MIN(Исходные!$C$32,I47+1)))/Исходные!$C$32</f>
        <v>19.0018267215541</v>
      </c>
      <c r="J99" s="15" t="n">
        <f aca="true">SUM(OFFSET(J98,0,-MIN(Исходные!$C$32-1,J47),1,MIN(Исходные!$C$32,J47+1)))/Исходные!$C$32</f>
        <v>19.7456362453636</v>
      </c>
      <c r="K99" s="15" t="n">
        <f aca="true">SUM(OFFSET(K98,0,-MIN(Исходные!$C$32-1,K47),1,MIN(Исходные!$C$32,K47+1)))/Исходные!$C$32</f>
        <v>20.1756362453636</v>
      </c>
      <c r="L99" s="15" t="n">
        <f aca="true">SUM(OFFSET(L98,0,-MIN(Исходные!$C$32-1,L47),1,MIN(Исходные!$C$32,L47+1)))/Исходные!$C$32</f>
        <v>20.1756362453636</v>
      </c>
      <c r="M99" s="15" t="n">
        <f aca="true">SUM(OFFSET(M98,0,-MIN(Исходные!$C$32-1,M47),1,MIN(Исходные!$C$32,M47+1)))/Исходные!$C$32</f>
        <v>20.1756362453636</v>
      </c>
      <c r="N99" s="15" t="n">
        <f aca="true">SUM(OFFSET(N98,0,-MIN(Исходные!$C$32-1,N47),1,MIN(Исходные!$C$32,N47+1)))/Исходные!$C$32</f>
        <v>20.1756362453636</v>
      </c>
      <c r="O99" s="15" t="n">
        <f aca="true">SUM(OFFSET(O98,0,-MIN(Исходные!$C$32-1,O47),1,MIN(Исходные!$C$32,O47+1)))/Исходные!$C$32</f>
        <v>20.3470648167922</v>
      </c>
      <c r="P99" s="15" t="n">
        <f aca="true">SUM(OFFSET(P98,0,-MIN(Исходные!$C$32-1,P47),1,MIN(Исходные!$C$32,P47+1)))/Исходные!$C$32</f>
        <v>21.4162049384084</v>
      </c>
      <c r="Q99" s="15" t="n">
        <f aca="true">SUM(OFFSET(Q98,0,-MIN(Исходные!$C$32-1,Q47),1,MIN(Исходные!$C$32,Q47+1)))/Исходные!$C$32</f>
        <v>22.7845822434205</v>
      </c>
      <c r="R99" s="15" t="n">
        <f aca="true">SUM(OFFSET(R98,0,-MIN(Исходные!$C$32-1,R47),1,MIN(Исходные!$C$32,R47+1)))/Исходные!$C$32</f>
        <v>22.956010814849</v>
      </c>
      <c r="S99" s="15" t="n">
        <f aca="true">SUM(OFFSET(S98,0,-MIN(Исходные!$C$32-1,S47),1,MIN(Исходные!$C$32,S47+1)))/Исходные!$C$32</f>
        <v>22.956010814849</v>
      </c>
      <c r="T99" s="15" t="n">
        <f aca="true">SUM(OFFSET(T98,0,-MIN(Исходные!$C$32-1,T47),1,MIN(Исходные!$C$32,T47+1)))/Исходные!$C$32</f>
        <v>22.956010814849</v>
      </c>
      <c r="U99" s="15" t="n">
        <f aca="true">SUM(OFFSET(U98,0,-MIN(Исходные!$C$32-1,U47),1,MIN(Исходные!$C$32,U47+1)))/Исходные!$C$32</f>
        <v>22.956010814849</v>
      </c>
      <c r="V99" s="15" t="n">
        <f aca="true">SUM(OFFSET(V98,0,-MIN(Исходные!$C$32-1,V47),1,MIN(Исходные!$C$32,V47+1)))/Исходные!$C$32</f>
        <v>22.956010814849</v>
      </c>
      <c r="W99" s="15" t="n">
        <f aca="true">SUM(OFFSET(W98,0,-MIN(Исходные!$C$32-1,W47),1,MIN(Исходные!$C$32,W47+1)))/Исходные!$C$32</f>
        <v>22.956010814849</v>
      </c>
      <c r="X99" s="15" t="n">
        <f aca="true">SUM(OFFSET(X98,0,-MIN(Исходные!$C$32-1,X47),1,MIN(Исходные!$C$32,X47+1)))/Исходные!$C$32</f>
        <v>5.15113282687851</v>
      </c>
      <c r="Y99" s="15" t="n">
        <f aca="true">SUM(OFFSET(Y98,0,-MIN(Исходные!$C$32-1,Y47),1,MIN(Исходные!$C$32,Y47+1)))/Исходные!$C$32</f>
        <v>4.40732330306898</v>
      </c>
      <c r="Z99" s="15" t="n">
        <f aca="true">SUM(OFFSET(Z98,0,-MIN(Исходные!$C$32-1,Z47),1,MIN(Исходные!$C$32,Z47+1)))/Исходные!$C$32</f>
        <v>3.97732330306898</v>
      </c>
      <c r="AA99" s="15" t="n">
        <f aca="true">SUM(OFFSET(AA98,0,-MIN(Исходные!$C$32-1,AA47),1,MIN(Исходные!$C$32,AA47+1)))/Исходные!$C$32</f>
        <v>3.97732330306898</v>
      </c>
      <c r="AB99" s="15" t="n">
        <f aca="true">SUM(OFFSET(AB98,0,-MIN(Исходные!$C$32-1,AB47),1,MIN(Исходные!$C$32,AB47+1)))/Исходные!$C$32</f>
        <v>3.97732330306898</v>
      </c>
      <c r="AC99" s="15" t="n">
        <f aca="true">SUM(OFFSET(AC98,0,-MIN(Исходные!$C$32-1,AC47),1,MIN(Исходные!$C$32,AC47+1)))/Исходные!$C$32</f>
        <v>3.97732330306898</v>
      </c>
      <c r="AD99" s="15" t="n">
        <f aca="true">SUM(OFFSET(AD98,0,-MIN(Исходные!$C$32-1,AD47),1,MIN(Исходные!$C$32,AD47+1)))/Исходные!$C$32</f>
        <v>3.80589473164041</v>
      </c>
      <c r="AE99" s="15" t="n">
        <f aca="true">SUM(OFFSET(AE98,0,-MIN(Исходные!$C$32-1,AE47),1,MIN(Исходные!$C$32,AE47+1)))/Исходные!$C$32</f>
        <v>2.73675461002419</v>
      </c>
      <c r="AF99" s="15" t="n">
        <f aca="true">SUM(OFFSET(AF98,0,-MIN(Исходные!$C$32-1,AF47),1,MIN(Исходные!$C$32,AF47+1)))/Исходные!$C$32</f>
        <v>1.3683773050121</v>
      </c>
      <c r="AG99" s="15" t="n">
        <f aca="true">SUM(OFFSET(AG98,0,-MIN(Исходные!$C$32-1,AG47),1,MIN(Исходные!$C$32,AG47+1)))/Исходные!$C$32</f>
        <v>1.19694873358353</v>
      </c>
      <c r="AH99" s="15" t="n">
        <f aca="true">SUM(OFFSET(AH98,0,-MIN(Исходные!$C$32-1,AH47),1,MIN(Исходные!$C$32,AH47+1)))/Исходные!$C$32</f>
        <v>1.19694873358353</v>
      </c>
      <c r="AI99" s="15" t="n">
        <f aca="true">SUM(OFFSET(AI98,0,-MIN(Исходные!$C$32-1,AI47),1,MIN(Исходные!$C$32,AI47+1)))/Исходные!$C$32</f>
        <v>1.19694873358353</v>
      </c>
      <c r="AJ99" s="15" t="n">
        <f aca="true">SUM(OFFSET(AJ98,0,-MIN(Исходные!$C$32-1,AJ47),1,MIN(Исходные!$C$32,AJ47+1)))/Исходные!$C$32</f>
        <v>1.19694873358353</v>
      </c>
      <c r="AK99" s="15" t="n">
        <f aca="true">SUM(OFFSET(AK98,0,-MIN(Исходные!$C$32-1,AK47),1,MIN(Исходные!$C$32,AK47+1)))/Исходные!$C$32</f>
        <v>1.19694873358353</v>
      </c>
      <c r="AL99" s="15" t="n">
        <f aca="true">SUM(OFFSET(AL98,0,-MIN(Исходные!$C$32-1,AL47),1,MIN(Исходные!$C$32,AL47+1)))/Исходные!$C$32</f>
        <v>1.19694873358353</v>
      </c>
      <c r="AM99" s="15" t="n">
        <f aca="true">SUM(OFFSET(AM98,0,-MIN(Исходные!$C$32-1,AM47),1,MIN(Исходные!$C$32,AM47+1)))/Исходные!$C$32</f>
        <v>0</v>
      </c>
      <c r="AN99" s="15" t="n">
        <f aca="true">SUM(OFFSET(AN98,0,-MIN(Исходные!$C$32-1,AN47),1,MIN(Исходные!$C$32,AN47+1)))/Исходные!$C$32</f>
        <v>0</v>
      </c>
      <c r="AO99" s="15" t="n">
        <f aca="true">SUM(OFFSET(AO98,0,-MIN(Исходные!$C$32-1,AO47),1,MIN(Исходные!$C$32,AO47+1)))/Исходные!$C$32</f>
        <v>0</v>
      </c>
      <c r="AP99" s="15" t="n">
        <f aca="true">SUM(OFFSET(AP98,0,-MIN(Исходные!$C$32-1,AP47),1,MIN(Исходные!$C$32,AP47+1)))/Исходные!$C$32</f>
        <v>0</v>
      </c>
      <c r="AQ99" s="15" t="n">
        <f aca="true">SUM(OFFSET(AQ98,0,-MIN(Исходные!$C$32-1,AQ47),1,MIN(Исходные!$C$32,AQ47+1)))/Исходные!$C$32</f>
        <v>0</v>
      </c>
      <c r="AR99" s="15" t="n">
        <f aca="true">SUM(OFFSET(AR98,0,-MIN(Исходные!$C$32-1,AR47),1,MIN(Исходные!$C$32,AR47+1)))/Исходные!$C$32</f>
        <v>0</v>
      </c>
    </row>
    <row r="100" customFormat="false" ht="15" hidden="false" customHeight="false" outlineLevel="0" collapsed="false">
      <c r="B100" s="8" t="s">
        <v>405</v>
      </c>
      <c r="C100" s="8" t="s">
        <v>270</v>
      </c>
      <c r="E100" s="15" t="n">
        <f aca="false">E99</f>
        <v>0</v>
      </c>
      <c r="F100" s="15" t="n">
        <f aca="false">E100+F99</f>
        <v>0</v>
      </c>
      <c r="G100" s="15" t="n">
        <f aca="false">F100+G99</f>
        <v>0</v>
      </c>
      <c r="H100" s="15" t="n">
        <f aca="false">G100+H99</f>
        <v>0</v>
      </c>
      <c r="I100" s="15" t="n">
        <f aca="false">H100+I99</f>
        <v>19.0018267215541</v>
      </c>
      <c r="J100" s="15" t="n">
        <f aca="false">I100+J99</f>
        <v>38.7474629669177</v>
      </c>
      <c r="K100" s="15" t="n">
        <f aca="false">J100+K99</f>
        <v>58.9230992122812</v>
      </c>
      <c r="L100" s="15" t="n">
        <f aca="false">K100+L99</f>
        <v>79.0987354576448</v>
      </c>
      <c r="M100" s="15" t="n">
        <f aca="false">L100+M99</f>
        <v>99.2743717030084</v>
      </c>
      <c r="N100" s="15" t="n">
        <f aca="false">M100+N99</f>
        <v>119.450007948372</v>
      </c>
      <c r="O100" s="15" t="n">
        <f aca="false">N100+O99</f>
        <v>139.797072765164</v>
      </c>
      <c r="P100" s="15" t="n">
        <f aca="false">O100+P99</f>
        <v>161.213277703573</v>
      </c>
      <c r="Q100" s="15" t="n">
        <f aca="false">P100+Q99</f>
        <v>183.997859946993</v>
      </c>
      <c r="R100" s="15" t="n">
        <f aca="false">Q100+R99</f>
        <v>206.953870761842</v>
      </c>
      <c r="S100" s="15" t="n">
        <f aca="false">R100+S99</f>
        <v>229.909881576691</v>
      </c>
      <c r="T100" s="15" t="n">
        <f aca="false">S100+T99</f>
        <v>252.86589239154</v>
      </c>
      <c r="U100" s="15" t="n">
        <f aca="false">T100+U99</f>
        <v>275.821903206389</v>
      </c>
      <c r="V100" s="15" t="n">
        <f aca="false">U100+V99</f>
        <v>298.777914021238</v>
      </c>
      <c r="W100" s="15" t="n">
        <f aca="false">V100+W99</f>
        <v>321.733924836087</v>
      </c>
      <c r="X100" s="15" t="n">
        <f aca="false">W100+X99</f>
        <v>326.885057662966</v>
      </c>
      <c r="Y100" s="15" t="n">
        <f aca="false">X100+Y99</f>
        <v>331.292380966035</v>
      </c>
      <c r="Z100" s="15" t="n">
        <f aca="false">Y100+Z99</f>
        <v>335.269704269104</v>
      </c>
      <c r="AA100" s="15" t="n">
        <f aca="false">Z100+AA99</f>
        <v>339.247027572173</v>
      </c>
      <c r="AB100" s="15" t="n">
        <f aca="false">AA100+AB99</f>
        <v>343.224350875242</v>
      </c>
      <c r="AC100" s="15" t="n">
        <f aca="false">AB100+AC99</f>
        <v>347.201674178311</v>
      </c>
      <c r="AD100" s="15" t="n">
        <f aca="false">AC100+AD99</f>
        <v>351.007568909951</v>
      </c>
      <c r="AE100" s="15" t="n">
        <f aca="false">AD100+AE99</f>
        <v>353.744323519975</v>
      </c>
      <c r="AF100" s="15" t="n">
        <f aca="false">AE100+AF99</f>
        <v>355.112700824988</v>
      </c>
      <c r="AG100" s="15" t="n">
        <f aca="false">AF100+AG99</f>
        <v>356.309649558571</v>
      </c>
      <c r="AH100" s="15" t="n">
        <f aca="false">AG100+AH99</f>
        <v>357.506598292155</v>
      </c>
      <c r="AI100" s="15" t="n">
        <f aca="false">AH100+AI99</f>
        <v>358.703547025738</v>
      </c>
      <c r="AJ100" s="15" t="n">
        <f aca="false">AI100+AJ99</f>
        <v>359.900495759322</v>
      </c>
      <c r="AK100" s="15" t="n">
        <f aca="false">AJ100+AK99</f>
        <v>361.097444492905</v>
      </c>
      <c r="AL100" s="15" t="n">
        <f aca="false">AK100+AL99</f>
        <v>362.294393226489</v>
      </c>
      <c r="AM100" s="15" t="n">
        <f aca="false">AL100+AM99</f>
        <v>362.294393226489</v>
      </c>
      <c r="AN100" s="15" t="n">
        <f aca="false">AM100+AN99</f>
        <v>362.294393226489</v>
      </c>
      <c r="AO100" s="15" t="n">
        <f aca="false">AN100+AO99</f>
        <v>362.294393226489</v>
      </c>
      <c r="AP100" s="15" t="n">
        <f aca="false">AO100+AP99</f>
        <v>362.294393226489</v>
      </c>
      <c r="AQ100" s="15" t="n">
        <f aca="false">AP100+AQ99</f>
        <v>362.294393226489</v>
      </c>
      <c r="AR100" s="15" t="n">
        <f aca="false">AQ100+AR99</f>
        <v>362.294393226489</v>
      </c>
    </row>
    <row r="101" customFormat="false" ht="15" hidden="false" customHeight="false" outlineLevel="0" collapsed="false">
      <c r="B101" s="8" t="s">
        <v>120</v>
      </c>
      <c r="C101" s="8" t="s">
        <v>270</v>
      </c>
      <c r="D101" s="15" t="n">
        <f aca="false">SUM(E101:AR101)</f>
        <v>57.4932103897491</v>
      </c>
      <c r="E101" s="15" t="n">
        <f aca="false">E96*Исходные!$C$31*(E94-E100)</f>
        <v>0</v>
      </c>
      <c r="F101" s="15" t="n">
        <f aca="false">F96*Исходные!$C$31*(F94-F100)</f>
        <v>0</v>
      </c>
      <c r="G101" s="15" t="n">
        <f aca="false">G96*Исходные!$C$31*(G94-G100)</f>
        <v>0</v>
      </c>
      <c r="H101" s="15" t="n">
        <f aca="false">H96*Исходные!$C$31*(H94-H100)</f>
        <v>0</v>
      </c>
      <c r="I101" s="15" t="n">
        <f aca="false">I96*Исходные!$C$31*(I94-I100)</f>
        <v>6.0980197730958</v>
      </c>
      <c r="J101" s="15" t="n">
        <f aca="false">J96*Исходные!$C$31*(J94-J100)</f>
        <v>5.8055157756978</v>
      </c>
      <c r="K101" s="15" t="n">
        <f aca="false">K96*Исходные!$C$31*(K94-K100)</f>
        <v>5.3616517782998</v>
      </c>
      <c r="L101" s="15" t="n">
        <f aca="false">L96*Исходные!$C$31*(L94-L100)</f>
        <v>4.9177877809018</v>
      </c>
      <c r="M101" s="15" t="n">
        <f aca="false">M96*Исходные!$C$31*(M94-M100)</f>
        <v>4.4739237835038</v>
      </c>
      <c r="N101" s="15" t="n">
        <f aca="false">N96*Исходные!$C$31*(N94-N100)</f>
        <v>4.08663121467723</v>
      </c>
      <c r="O101" s="15" t="n">
        <f aca="false">O96*Исходные!$C$31*(O94-O100)</f>
        <v>3.99181202884115</v>
      </c>
      <c r="P101" s="15" t="n">
        <f aca="false">P96*Исходные!$C$31*(P94-P100)</f>
        <v>3.97222003085016</v>
      </c>
      <c r="Q101" s="15" t="n">
        <f aca="false">Q96*Исходные!$C$31*(Q94-Q100)</f>
        <v>3.52753065006634</v>
      </c>
      <c r="R101" s="15" t="n">
        <f aca="false">R96*Исходные!$C$31*(R94-R100)</f>
        <v>3.02249841213966</v>
      </c>
      <c r="S101" s="15" t="n">
        <f aca="false">S96*Исходные!$C$31*(S94-S100)</f>
        <v>2.51746617421298</v>
      </c>
      <c r="T101" s="15" t="n">
        <f aca="false">T96*Исходные!$C$31*(T94-T100)</f>
        <v>2.0124339362863</v>
      </c>
      <c r="U101" s="15" t="n">
        <f aca="false">U96*Исходные!$C$31*(U94-U100)</f>
        <v>1.50740169835962</v>
      </c>
      <c r="V101" s="15" t="n">
        <f aca="false">V96*Исходные!$C$31*(V94-V100)</f>
        <v>1.00236946043294</v>
      </c>
      <c r="W101" s="15" t="n">
        <f aca="false">W96*Исходные!$C$31*(W94-W100)</f>
        <v>0.892330304588827</v>
      </c>
      <c r="X101" s="15" t="n">
        <f aca="false">X96*Исходные!$C$31*(X94-X100)</f>
        <v>0.7790053823975</v>
      </c>
      <c r="Y101" s="15" t="n">
        <f aca="false">Y96*Исходные!$C$31*(Y94-Y100)</f>
        <v>0.682044269729982</v>
      </c>
      <c r="Z101" s="15" t="n">
        <f aca="false">Z96*Исходные!$C$31*(Z94-Z100)</f>
        <v>0.594543157062464</v>
      </c>
      <c r="AA101" s="15" t="n">
        <f aca="false">AA96*Исходные!$C$31*(AA94-AA100)</f>
        <v>0.507042044394946</v>
      </c>
      <c r="AB101" s="15" t="n">
        <f aca="false">AB96*Исходные!$C$31*(AB94-AB100)</f>
        <v>0.419540931727428</v>
      </c>
      <c r="AC101" s="15" t="n">
        <f aca="false">AC96*Исходные!$C$31*(AC94-AC100)</f>
        <v>0.33203981905991</v>
      </c>
      <c r="AD101" s="15" t="n">
        <f aca="false">AD96*Исходные!$C$31*(AD94-AD100)</f>
        <v>0.248310134963821</v>
      </c>
      <c r="AE101" s="15" t="n">
        <f aca="false">AE96*Исходные!$C$31*(AE94-AE100)</f>
        <v>0.188101533543288</v>
      </c>
      <c r="AF101" s="15" t="n">
        <f aca="false">AF96*Исходные!$C$31*(AF94-AF100)</f>
        <v>0.157997232833023</v>
      </c>
      <c r="AG101" s="15" t="n">
        <f aca="false">AG96*Исходные!$C$31*(AG94-AG100)</f>
        <v>0.131664360694185</v>
      </c>
      <c r="AH101" s="15" t="n">
        <f aca="false">AH96*Исходные!$C$31*(AH94-AH100)</f>
        <v>0.105331488555346</v>
      </c>
      <c r="AI101" s="15" t="n">
        <f aca="false">AI96*Исходные!$C$31*(AI94-AI100)</f>
        <v>0.0789986164165083</v>
      </c>
      <c r="AJ101" s="15" t="n">
        <f aca="false">AJ96*Исходные!$C$31*(AJ94-AJ100)</f>
        <v>0.0526657442776701</v>
      </c>
      <c r="AK101" s="15" t="n">
        <f aca="false">AK96*Исходные!$C$31*(AK94-AK100)</f>
        <v>0.0263328721388319</v>
      </c>
      <c r="AL101" s="15" t="n">
        <f aca="false">AL96*Исходные!$C$31*(AL94-AL100)</f>
        <v>0</v>
      </c>
      <c r="AM101" s="15" t="n">
        <f aca="false">AM96*Исходные!$C$31*(AM94-AM100)</f>
        <v>0</v>
      </c>
      <c r="AN101" s="15" t="n">
        <f aca="false">AN96*Исходные!$C$31*(AN94-AN100)</f>
        <v>0</v>
      </c>
      <c r="AO101" s="15" t="n">
        <f aca="false">AO96*Исходные!$C$31*(AO94-AO100)</f>
        <v>0</v>
      </c>
      <c r="AP101" s="15" t="n">
        <f aca="false">AP96*Исходные!$C$31*(AP94-AP100)</f>
        <v>0</v>
      </c>
      <c r="AQ101" s="15" t="n">
        <f aca="false">AQ96*Исходные!$C$31*(AQ94-AQ100)</f>
        <v>0</v>
      </c>
      <c r="AR101" s="15" t="n">
        <f aca="false">AR96*Исходные!$C$31*(AR94-AR100)</f>
        <v>0</v>
      </c>
    </row>
    <row r="102" customFormat="false" ht="15" hidden="false" customHeight="false" outlineLevel="0" collapsed="false">
      <c r="B102" s="3" t="s">
        <v>406</v>
      </c>
      <c r="C102" s="8" t="s">
        <v>270</v>
      </c>
      <c r="D102" s="15" t="n">
        <f aca="false">SUM(E102:AR102)</f>
        <v>1328.53904289539</v>
      </c>
      <c r="E102" s="15" t="n">
        <f aca="false">E73-E74-E97-E101</f>
        <v>0</v>
      </c>
      <c r="F102" s="15" t="n">
        <f aca="false">F73-F74-F97-F101</f>
        <v>0</v>
      </c>
      <c r="G102" s="15" t="n">
        <f aca="false">G73-G74-G97-G101</f>
        <v>0</v>
      </c>
      <c r="H102" s="15" t="n">
        <f aca="false">H73-H74-H97-H101</f>
        <v>0</v>
      </c>
      <c r="I102" s="15" t="n">
        <f aca="false">I73-I74-I97-I101</f>
        <v>12.6863010299212</v>
      </c>
      <c r="J102" s="15" t="n">
        <f aca="false">J73-J74-J97-J101</f>
        <v>36.1091439855429</v>
      </c>
      <c r="K102" s="15" t="n">
        <f aca="false">K73-K74-K97-K101</f>
        <v>58.1270526361847</v>
      </c>
      <c r="L102" s="15" t="n">
        <f aca="false">L73-L74-L97-L101</f>
        <v>58.5709166335827</v>
      </c>
      <c r="M102" s="15" t="n">
        <f aca="false">M73-M74-M97-M101</f>
        <v>59.0147806309807</v>
      </c>
      <c r="N102" s="15" t="n">
        <f aca="false">N73-N74-N97-N101</f>
        <v>59.3635017712359</v>
      </c>
      <c r="O102" s="15" t="n">
        <f aca="false">O73-O74-O97-O101</f>
        <v>59.2177644297083</v>
      </c>
      <c r="P102" s="15" t="n">
        <f aca="false">P73-P74-P97-P101</f>
        <v>57.7714019660454</v>
      </c>
      <c r="Q102" s="15" t="n">
        <f aca="false">Q73-Q74-Q97-Q101</f>
        <v>58.1775199182578</v>
      </c>
      <c r="R102" s="15" t="n">
        <f aca="false">R73-R74-R97-R101</f>
        <v>58.6825521561845</v>
      </c>
      <c r="S102" s="15" t="n">
        <f aca="false">S73-S74-S97-S101</f>
        <v>59.1875843941112</v>
      </c>
      <c r="T102" s="15" t="n">
        <f aca="false">T73-T74-T97-T101</f>
        <v>59.6926166320379</v>
      </c>
      <c r="U102" s="15" t="n">
        <f aca="false">U73-U74-U97-U101</f>
        <v>60.1976488699646</v>
      </c>
      <c r="V102" s="15" t="n">
        <f aca="false">V73-V74-V97-V101</f>
        <v>56.2798919968263</v>
      </c>
      <c r="W102" s="15" t="n">
        <f aca="false">W73-W74-W97-W101</f>
        <v>52.0040549931446</v>
      </c>
      <c r="X102" s="15" t="n">
        <f aca="false">X73-X74-X97-X101</f>
        <v>48.2858410397649</v>
      </c>
      <c r="Y102" s="15" t="n">
        <f aca="false">Y73-Y74-Y97-Y101</f>
        <v>44.8165525299657</v>
      </c>
      <c r="Z102" s="15" t="n">
        <f aca="false">Z73-Z74-Z97-Z101</f>
        <v>41.5847250953407</v>
      </c>
      <c r="AA102" s="15" t="n">
        <f aca="false">AA73-AA74-AA97-AA101</f>
        <v>38.5827223394456</v>
      </c>
      <c r="AB102" s="15" t="n">
        <f aca="false">AB73-AB74-AB97-AB101</f>
        <v>35.7946315913287</v>
      </c>
      <c r="AC102" s="15" t="n">
        <f aca="false">AC73-AC74-AC97-AC101</f>
        <v>33.2056419463859</v>
      </c>
      <c r="AD102" s="15" t="n">
        <f aca="false">AD73-AD74-AD97-AD101</f>
        <v>30.7981965533556</v>
      </c>
      <c r="AE102" s="15" t="n">
        <f aca="false">AE73-AE74-AE97-AE101</f>
        <v>28.5397148147293</v>
      </c>
      <c r="AF102" s="15" t="n">
        <f aca="false">AF73-AF74-AF97-AF101</f>
        <v>26.4116709618267</v>
      </c>
      <c r="AG102" s="15" t="n">
        <f aca="false">AG73-AG74-AG97-AG101</f>
        <v>24.4292821980924</v>
      </c>
      <c r="AH102" s="15" t="n">
        <f aca="false">AH73-AH74-AH97-AH101</f>
        <v>22.5859739134503</v>
      </c>
      <c r="AI102" s="15" t="n">
        <f aca="false">AI73-AI74-AI97-AI101</f>
        <v>20.8721164114215</v>
      </c>
      <c r="AJ102" s="15" t="n">
        <f aca="false">AJ73-AJ74-AJ97-AJ101</f>
        <v>19.2787467393781</v>
      </c>
      <c r="AK102" s="15" t="n">
        <f aca="false">AK73-AK74-AK97-AK101</f>
        <v>17.7975225243302</v>
      </c>
      <c r="AL102" s="15" t="n">
        <f aca="false">AL73-AL74-AL97-AL101</f>
        <v>16.4206790050445</v>
      </c>
      <c r="AM102" s="15" t="n">
        <f aca="false">AM73-AM74-AM97-AM101</f>
        <v>15.1146561670468</v>
      </c>
      <c r="AN102" s="15" t="n">
        <f aca="false">AN73-AN74-AN97-AN101</f>
        <v>13.8990601352179</v>
      </c>
      <c r="AO102" s="15" t="n">
        <f aca="false">AO73-AO74-AO97-AO101</f>
        <v>12.7676299108709</v>
      </c>
      <c r="AP102" s="15" t="n">
        <f aca="false">AP73-AP74-AP97-AP101</f>
        <v>11.7145379962485</v>
      </c>
      <c r="AQ102" s="15" t="n">
        <f aca="false">AQ73-AQ74-AQ97-AQ101</f>
        <v>10.7343603796545</v>
      </c>
      <c r="AR102" s="15" t="n">
        <f aca="false">AR73-AR74-AR97-AR101</f>
        <v>9.82204859876253</v>
      </c>
    </row>
    <row r="103" customFormat="false" ht="15" hidden="false" customHeight="false" outlineLevel="0" collapsed="false">
      <c r="B103" s="8" t="s">
        <v>118</v>
      </c>
      <c r="C103" s="8" t="s">
        <v>270</v>
      </c>
      <c r="D103" s="15" t="n">
        <f aca="false">SUM(E103:AR103)</f>
        <v>243.140043840134</v>
      </c>
      <c r="E103" s="15" t="n">
        <f aca="false">MAX(0,E102-E99)*Исходные!$C$30</f>
        <v>0</v>
      </c>
      <c r="F103" s="15" t="n">
        <f aca="false">MAX(0,F102-F99)*Исходные!$C$30</f>
        <v>0</v>
      </c>
      <c r="G103" s="15" t="n">
        <f aca="false">MAX(0,G102-G99)*Исходные!$C$30</f>
        <v>0</v>
      </c>
      <c r="H103" s="15" t="n">
        <f aca="false">MAX(0,H102-H99)*Исходные!$C$30</f>
        <v>0</v>
      </c>
      <c r="I103" s="15" t="n">
        <f aca="false">MAX(0,I102-I99)*Исходные!$C$30</f>
        <v>0</v>
      </c>
      <c r="J103" s="15" t="n">
        <f aca="false">MAX(0,J102-J99)*Исходные!$C$30</f>
        <v>4.09087693504484</v>
      </c>
      <c r="K103" s="15" t="n">
        <f aca="false">MAX(0,K102-K99)*Исходные!$C$30</f>
        <v>9.48785409770529</v>
      </c>
      <c r="L103" s="15" t="n">
        <f aca="false">MAX(0,L102-L99)*Исходные!$C$30</f>
        <v>9.59882009705479</v>
      </c>
      <c r="M103" s="15" t="n">
        <f aca="false">MAX(0,M102-M99)*Исходные!$C$30</f>
        <v>9.70978609640429</v>
      </c>
      <c r="N103" s="15" t="n">
        <f aca="false">MAX(0,N102-N99)*Исходные!$C$30</f>
        <v>9.79696638146807</v>
      </c>
      <c r="O103" s="15" t="n">
        <f aca="false">MAX(0,O102-O99)*Исходные!$C$30</f>
        <v>9.71767490322904</v>
      </c>
      <c r="P103" s="15" t="n">
        <f aca="false">MAX(0,P102-P99)*Исходные!$C$30</f>
        <v>9.08879925690927</v>
      </c>
      <c r="Q103" s="15" t="n">
        <f aca="false">MAX(0,Q102-Q99)*Исходные!$C$30</f>
        <v>8.84823441870934</v>
      </c>
      <c r="R103" s="15" t="n">
        <f aca="false">MAX(0,R102-R99)*Исходные!$C$30</f>
        <v>8.93163533533387</v>
      </c>
      <c r="S103" s="15" t="n">
        <f aca="false">MAX(0,S102-S99)*Исходные!$C$30</f>
        <v>9.05789339481554</v>
      </c>
      <c r="T103" s="15" t="n">
        <f aca="false">MAX(0,T102-T99)*Исходные!$C$30</f>
        <v>9.18415145429721</v>
      </c>
      <c r="U103" s="15" t="n">
        <f aca="false">MAX(0,U102-U99)*Исходные!$C$30</f>
        <v>9.31040951377888</v>
      </c>
      <c r="V103" s="15" t="n">
        <f aca="false">MAX(0,V102-V99)*Исходные!$C$30</f>
        <v>8.33097029549431</v>
      </c>
      <c r="W103" s="15" t="n">
        <f aca="false">MAX(0,W102-W99)*Исходные!$C$30</f>
        <v>7.2620110445739</v>
      </c>
      <c r="X103" s="15" t="n">
        <f aca="false">MAX(0,X102-X99)*Исходные!$C$30</f>
        <v>10.7836770532216</v>
      </c>
      <c r="Y103" s="15" t="n">
        <f aca="false">MAX(0,Y102-Y99)*Исходные!$C$30</f>
        <v>10.1023073067242</v>
      </c>
      <c r="Z103" s="15" t="n">
        <f aca="false">MAX(0,Z102-Z99)*Исходные!$C$30</f>
        <v>9.40185044806793</v>
      </c>
      <c r="AA103" s="15" t="n">
        <f aca="false">MAX(0,AA102-AA99)*Исходные!$C$30</f>
        <v>8.65134975909414</v>
      </c>
      <c r="AB103" s="15" t="n">
        <f aca="false">MAX(0,AB102-AB99)*Исходные!$C$30</f>
        <v>7.95432707206493</v>
      </c>
      <c r="AC103" s="15" t="n">
        <f aca="false">MAX(0,AC102-AC99)*Исходные!$C$30</f>
        <v>7.30707966082923</v>
      </c>
      <c r="AD103" s="15" t="n">
        <f aca="false">MAX(0,AD102-AD99)*Исходные!$C$30</f>
        <v>6.74807545542879</v>
      </c>
      <c r="AE103" s="15" t="n">
        <f aca="false">MAX(0,AE102-AE99)*Исходные!$C$30</f>
        <v>6.45074005117627</v>
      </c>
      <c r="AF103" s="15" t="n">
        <f aca="false">MAX(0,AF102-AF99)*Исходные!$C$30</f>
        <v>6.26082341420366</v>
      </c>
      <c r="AG103" s="15" t="n">
        <f aca="false">MAX(0,AG102-AG99)*Исходные!$C$30</f>
        <v>5.80808336612721</v>
      </c>
      <c r="AH103" s="15" t="n">
        <f aca="false">MAX(0,AH102-AH99)*Исходные!$C$30</f>
        <v>5.34725629496671</v>
      </c>
      <c r="AI103" s="15" t="n">
        <f aca="false">MAX(0,AI102-AI99)*Исходные!$C$30</f>
        <v>4.91879191945949</v>
      </c>
      <c r="AJ103" s="15" t="n">
        <f aca="false">MAX(0,AJ102-AJ99)*Исходные!$C$30</f>
        <v>4.52044950144863</v>
      </c>
      <c r="AK103" s="15" t="n">
        <f aca="false">MAX(0,AK102-AK99)*Исходные!$C$30</f>
        <v>4.15014344768667</v>
      </c>
      <c r="AL103" s="15" t="n">
        <f aca="false">MAX(0,AL102-AL99)*Исходные!$C$30</f>
        <v>3.80593256786525</v>
      </c>
      <c r="AM103" s="15" t="n">
        <f aca="false">MAX(0,AM102-AM99)*Исходные!$C$30</f>
        <v>3.7786640417617</v>
      </c>
      <c r="AN103" s="15" t="n">
        <f aca="false">MAX(0,AN102-AN99)*Исходные!$C$30</f>
        <v>3.47476503380448</v>
      </c>
      <c r="AO103" s="15" t="n">
        <f aca="false">MAX(0,AO102-AO99)*Исходные!$C$30</f>
        <v>3.19190747771772</v>
      </c>
      <c r="AP103" s="15" t="n">
        <f aca="false">MAX(0,AP102-AP99)*Исходные!$C$30</f>
        <v>2.92863449906213</v>
      </c>
      <c r="AQ103" s="15" t="n">
        <f aca="false">MAX(0,AQ102-AQ99)*Исходные!$C$30</f>
        <v>2.68359009491362</v>
      </c>
      <c r="AR103" s="15" t="n">
        <f aca="false">MAX(0,AR102-AR99)*Исходные!$C$30</f>
        <v>2.45551214969063</v>
      </c>
    </row>
    <row r="104" customFormat="false" ht="15" hidden="false" customHeight="false" outlineLevel="0" collapsed="false">
      <c r="B104" s="42" t="s">
        <v>407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customFormat="false" ht="15" hidden="false" customHeight="false" outlineLevel="0" collapsed="false">
      <c r="B105" s="3" t="s">
        <v>408</v>
      </c>
      <c r="C105" s="8" t="s">
        <v>270</v>
      </c>
      <c r="D105" s="15" t="n">
        <f aca="false">SUM(E105:AR105)</f>
        <v>723.104605828768</v>
      </c>
      <c r="E105" s="15" t="n">
        <f aca="false">E102-E103-E93</f>
        <v>-15</v>
      </c>
      <c r="F105" s="15" t="n">
        <f aca="false">F102-F103-F93</f>
        <v>-76.8988612978523</v>
      </c>
      <c r="G105" s="15" t="n">
        <f aca="false">G102-G103-G93</f>
        <v>-112.805653442062</v>
      </c>
      <c r="H105" s="15" t="n">
        <f aca="false">H102-H103-H93</f>
        <v>-80.3228860833972</v>
      </c>
      <c r="I105" s="15" t="n">
        <f aca="false">I102-I103-I93</f>
        <v>1.52915817277831</v>
      </c>
      <c r="J105" s="15" t="n">
        <f aca="false">J102-J103-J93</f>
        <v>25.5682670504981</v>
      </c>
      <c r="K105" s="15" t="n">
        <f aca="false">K102-K103-K93</f>
        <v>48.6391985384795</v>
      </c>
      <c r="L105" s="15" t="n">
        <f aca="false">L102-L103-L93</f>
        <v>48.9720965365279</v>
      </c>
      <c r="M105" s="15" t="n">
        <f aca="false">M102-M103-M93</f>
        <v>49.3049945345764</v>
      </c>
      <c r="N105" s="15" t="n">
        <f aca="false">N102-N103-N93</f>
        <v>46.9951068183392</v>
      </c>
      <c r="O105" s="15" t="n">
        <f aca="false">O102-O103-O93</f>
        <v>33.462987702236</v>
      </c>
      <c r="P105" s="15" t="n">
        <f aca="false">P102-P103-P93</f>
        <v>28.1569431339547</v>
      </c>
      <c r="Q105" s="15" t="n">
        <f aca="false">Q102-Q103-Q93</f>
        <v>46.7578569281199</v>
      </c>
      <c r="R105" s="15" t="n">
        <f aca="false">R102-R103-R93</f>
        <v>49.7509168208507</v>
      </c>
      <c r="S105" s="15" t="n">
        <f aca="false">S102-S103-S93</f>
        <v>50.1296909992957</v>
      </c>
      <c r="T105" s="15" t="n">
        <f aca="false">T102-T103-T93</f>
        <v>50.5084651777407</v>
      </c>
      <c r="U105" s="15" t="n">
        <f aca="false">U102-U103-U93</f>
        <v>50.8872393561857</v>
      </c>
      <c r="V105" s="15" t="n">
        <f aca="false">V102-V103-V93</f>
        <v>47.948921701332</v>
      </c>
      <c r="W105" s="15" t="n">
        <f aca="false">W102-W103-W93</f>
        <v>26.7878129448178</v>
      </c>
      <c r="X105" s="15" t="n">
        <f aca="false">X102-X103-X93</f>
        <v>37.5021639865433</v>
      </c>
      <c r="Y105" s="15" t="n">
        <f aca="false">Y102-Y103-Y93</f>
        <v>34.7142452232415</v>
      </c>
      <c r="Z105" s="15" t="n">
        <f aca="false">Z102-Z103-Z93</f>
        <v>32.1828746472728</v>
      </c>
      <c r="AA105" s="15" t="n">
        <f aca="false">AA102-AA103-AA93</f>
        <v>29.9313725803514</v>
      </c>
      <c r="AB105" s="15" t="n">
        <f aca="false">AB102-AB103-AB93</f>
        <v>27.8403045192638</v>
      </c>
      <c r="AC105" s="15" t="n">
        <f aca="false">AC102-AC103-AC93</f>
        <v>25.8985622855567</v>
      </c>
      <c r="AD105" s="15" t="n">
        <f aca="false">AD102-AD103-AD93</f>
        <v>24.0501210979268</v>
      </c>
      <c r="AE105" s="15" t="n">
        <f aca="false">AE102-AE103-AE93</f>
        <v>22.088974763553</v>
      </c>
      <c r="AF105" s="15" t="n">
        <f aca="false">AF102-AF103-AF93</f>
        <v>20.1508475476231</v>
      </c>
      <c r="AG105" s="15" t="n">
        <f aca="false">AG102-AG103-AG93</f>
        <v>18.6211988319652</v>
      </c>
      <c r="AH105" s="15" t="n">
        <f aca="false">AH102-AH103-AH93</f>
        <v>17.2387176184836</v>
      </c>
      <c r="AI105" s="15" t="n">
        <f aca="false">AI102-AI103-AI93</f>
        <v>15.953324491962</v>
      </c>
      <c r="AJ105" s="15" t="n">
        <f aca="false">AJ102-AJ103-AJ93</f>
        <v>14.7582972379294</v>
      </c>
      <c r="AK105" s="15" t="n">
        <f aca="false">AK102-AK103-AK93</f>
        <v>13.6473790766435</v>
      </c>
      <c r="AL105" s="15" t="n">
        <f aca="false">AL102-AL103-AL93</f>
        <v>12.6147464371793</v>
      </c>
      <c r="AM105" s="15" t="n">
        <f aca="false">AM102-AM103-AM93</f>
        <v>11.3359921252851</v>
      </c>
      <c r="AN105" s="15" t="n">
        <f aca="false">AN102-AN103-AN93</f>
        <v>10.4242951014134</v>
      </c>
      <c r="AO105" s="15" t="n">
        <f aca="false">AO102-AO103-AO93</f>
        <v>9.57572243315316</v>
      </c>
      <c r="AP105" s="15" t="n">
        <f aca="false">AP102-AP103-AP93</f>
        <v>8.78590349718639</v>
      </c>
      <c r="AQ105" s="15" t="n">
        <f aca="false">AQ102-AQ103-AQ93</f>
        <v>8.05077028474085</v>
      </c>
      <c r="AR105" s="15" t="n">
        <f aca="false">AR102-AR103-AR93</f>
        <v>7.3665364490719</v>
      </c>
    </row>
    <row r="106" customFormat="false" ht="15" hidden="false" customHeight="false" outlineLevel="0" collapsed="false">
      <c r="B106" s="8" t="s">
        <v>409</v>
      </c>
      <c r="C106" s="8"/>
      <c r="E106" s="55" t="n">
        <f aca="false">1/(1+$D$27)^(E47+0.5)</f>
        <v>0.953462589245592</v>
      </c>
      <c r="F106" s="55" t="n">
        <f aca="false">1/(1+$D$27)^(F47+0.5)</f>
        <v>0.866784172041447</v>
      </c>
      <c r="G106" s="55" t="n">
        <f aca="false">1/(1+$D$27)^(G47+0.5)</f>
        <v>0.78798561094677</v>
      </c>
      <c r="H106" s="55" t="n">
        <f aca="false">1/(1+$D$27)^(H47+0.5)</f>
        <v>0.716350555406155</v>
      </c>
      <c r="I106" s="55" t="n">
        <f aca="false">1/(1+$D$27)^(I47+0.5)</f>
        <v>0.651227777641959</v>
      </c>
      <c r="J106" s="55" t="n">
        <f aca="false">1/(1+$D$27)^(J47+0.5)</f>
        <v>0.592025252401781</v>
      </c>
      <c r="K106" s="55" t="n">
        <f aca="false">1/(1+$D$27)^(K47+0.5)</f>
        <v>0.53820477491071</v>
      </c>
      <c r="L106" s="55" t="n">
        <f aca="false">1/(1+$D$27)^(L47+0.5)</f>
        <v>0.489277068100645</v>
      </c>
      <c r="M106" s="55" t="n">
        <f aca="false">1/(1+$D$27)^(M47+0.5)</f>
        <v>0.44479733463695</v>
      </c>
      <c r="N106" s="55" t="n">
        <f aca="false">1/(1+$D$27)^(N47+0.5)</f>
        <v>0.404361213306318</v>
      </c>
      <c r="O106" s="55" t="n">
        <f aca="false">1/(1+$D$27)^(O47+0.5)</f>
        <v>0.367601103005744</v>
      </c>
      <c r="P106" s="55" t="n">
        <f aca="false">1/(1+$D$27)^(P47+0.5)</f>
        <v>0.334182820914313</v>
      </c>
      <c r="Q106" s="55" t="n">
        <f aca="false">1/(1+$D$27)^(Q47+0.5)</f>
        <v>0.303802564467557</v>
      </c>
      <c r="R106" s="55" t="n">
        <f aca="false">1/(1+$D$27)^(R47+0.5)</f>
        <v>0.276184149515961</v>
      </c>
      <c r="S106" s="55" t="n">
        <f aca="false">1/(1+$D$27)^(S47+0.5)</f>
        <v>0.251076499559964</v>
      </c>
      <c r="T106" s="55" t="n">
        <f aca="false">1/(1+$D$27)^(T47+0.5)</f>
        <v>0.228251363236331</v>
      </c>
      <c r="U106" s="55" t="n">
        <f aca="false">1/(1+$D$27)^(U47+0.5)</f>
        <v>0.207501239305756</v>
      </c>
      <c r="V106" s="55" t="n">
        <f aca="false">1/(1+$D$27)^(V47+0.5)</f>
        <v>0.18863749027796</v>
      </c>
      <c r="W106" s="55" t="n">
        <f aca="false">1/(1+$D$27)^(W47+0.5)</f>
        <v>0.171488627525418</v>
      </c>
      <c r="X106" s="55" t="n">
        <f aca="false">1/(1+$D$27)^(X47+0.5)</f>
        <v>0.155898752295834</v>
      </c>
      <c r="Y106" s="55" t="n">
        <f aca="false">1/(1+$D$27)^(Y47+0.5)</f>
        <v>0.141726138450759</v>
      </c>
      <c r="Z106" s="55" t="n">
        <f aca="false">1/(1+$D$27)^(Z47+0.5)</f>
        <v>0.128841944046144</v>
      </c>
      <c r="AA106" s="55" t="n">
        <f aca="false">1/(1+$D$27)^(AA47+0.5)</f>
        <v>0.117129040041949</v>
      </c>
      <c r="AB106" s="55" t="n">
        <f aca="false">1/(1+$D$27)^(AB47+0.5)</f>
        <v>0.106480945492681</v>
      </c>
      <c r="AC106" s="55" t="n">
        <f aca="false">1/(1+$D$27)^(AC47+0.5)</f>
        <v>0.0968008595388009</v>
      </c>
      <c r="AD106" s="55" t="n">
        <f aca="false">1/(1+$D$27)^(AD47+0.5)</f>
        <v>0.0880007813989099</v>
      </c>
      <c r="AE106" s="55" t="n">
        <f aca="false">1/(1+$D$27)^(AE47+0.5)</f>
        <v>0.0800007103626454</v>
      </c>
      <c r="AF106" s="55" t="n">
        <f aca="false">1/(1+$D$27)^(AF47+0.5)</f>
        <v>0.0727279185114958</v>
      </c>
      <c r="AG106" s="55" t="n">
        <f aca="false">1/(1+$D$27)^(AG47+0.5)</f>
        <v>0.0661162895559053</v>
      </c>
      <c r="AH106" s="55" t="n">
        <f aca="false">1/(1+$D$27)^(AH47+0.5)</f>
        <v>0.0601057177780957</v>
      </c>
      <c r="AI106" s="55" t="n">
        <f aca="false">1/(1+$D$27)^(AI47+0.5)</f>
        <v>0.0546415616164506</v>
      </c>
      <c r="AJ106" s="55" t="n">
        <f aca="false">1/(1+$D$27)^(AJ47+0.5)</f>
        <v>0.049674146924046</v>
      </c>
      <c r="AK106" s="55" t="n">
        <f aca="false">1/(1+$D$27)^(AK47+0.5)</f>
        <v>0.0451583153854964</v>
      </c>
      <c r="AL106" s="55" t="n">
        <f aca="false">1/(1+$D$27)^(AL47+0.5)</f>
        <v>0.0410530139868149</v>
      </c>
      <c r="AM106" s="55" t="n">
        <f aca="false">1/(1+$D$27)^(AM47+0.5)</f>
        <v>0.0373209218061954</v>
      </c>
      <c r="AN106" s="55" t="n">
        <f aca="false">1/(1+$D$27)^(AN47+0.5)</f>
        <v>0.0339281107329049</v>
      </c>
      <c r="AO106" s="55" t="n">
        <f aca="false">1/(1+$D$27)^(AO47+0.5)</f>
        <v>0.0308437370299135</v>
      </c>
      <c r="AP106" s="55" t="n">
        <f aca="false">1/(1+$D$27)^(AP47+0.5)</f>
        <v>0.028039760936285</v>
      </c>
      <c r="AQ106" s="55" t="n">
        <f aca="false">1/(1+$D$27)^(AQ47+0.5)</f>
        <v>0.0254906917602591</v>
      </c>
      <c r="AR106" s="55" t="n">
        <f aca="false">1/(1+$D$27)^(AR47+0.5)</f>
        <v>0.0231733561456901</v>
      </c>
    </row>
    <row r="107" customFormat="false" ht="15" hidden="false" customHeight="false" outlineLevel="0" collapsed="false">
      <c r="B107" s="8" t="s">
        <v>410</v>
      </c>
      <c r="C107" s="8" t="s">
        <v>270</v>
      </c>
      <c r="D107" s="15" t="n">
        <f aca="false">SUM(E107:AR107)</f>
        <v>13.7293048335457</v>
      </c>
      <c r="E107" s="15" t="n">
        <f aca="false">E105*E106</f>
        <v>-14.3019388386839</v>
      </c>
      <c r="F107" s="15" t="n">
        <f aca="false">F105*F106</f>
        <v>-66.654715820989</v>
      </c>
      <c r="G107" s="15" t="n">
        <f aca="false">G105*G106</f>
        <v>-88.8892317457925</v>
      </c>
      <c r="H107" s="15" t="n">
        <f aca="false">H105*H106</f>
        <v>-57.5393440576669</v>
      </c>
      <c r="I107" s="15" t="n">
        <f aca="false">I105*I106</f>
        <v>0.995830278521456</v>
      </c>
      <c r="J107" s="15" t="n">
        <f aca="false">J105*J106</f>
        <v>15.1370597540473</v>
      </c>
      <c r="K107" s="15" t="n">
        <f aca="false">K105*K106</f>
        <v>26.1778489012397</v>
      </c>
      <c r="L107" s="15" t="n">
        <f aca="false">L105*L106</f>
        <v>23.9609238121342</v>
      </c>
      <c r="M107" s="15" t="n">
        <f aca="false">M105*M106</f>
        <v>21.930730153269</v>
      </c>
      <c r="N107" s="15" t="n">
        <f aca="false">N105*N106</f>
        <v>19.0029984125237</v>
      </c>
      <c r="O107" s="15" t="n">
        <f aca="false">O105*O106</f>
        <v>12.3010311892096</v>
      </c>
      <c r="P107" s="15" t="n">
        <f aca="false">P105*P106</f>
        <v>9.40956668482887</v>
      </c>
      <c r="Q107" s="15" t="n">
        <f aca="false">Q105*Q106</f>
        <v>14.20515684377</v>
      </c>
      <c r="R107" s="15" t="n">
        <f aca="false">R105*R106</f>
        <v>13.7404146498059</v>
      </c>
      <c r="S107" s="15" t="n">
        <f aca="false">S105*S106</f>
        <v>12.5863873401258</v>
      </c>
      <c r="T107" s="15" t="n">
        <f aca="false">T105*T106</f>
        <v>11.5286260317941</v>
      </c>
      <c r="U107" s="15" t="n">
        <f aca="false">U105*U106</f>
        <v>10.5591652312571</v>
      </c>
      <c r="V107" s="15" t="n">
        <f aca="false">V105*V106</f>
        <v>9.04496425127365</v>
      </c>
      <c r="W107" s="15" t="n">
        <f aca="false">W105*W106</f>
        <v>4.59380527631443</v>
      </c>
      <c r="X107" s="15" t="n">
        <f aca="false">X105*X106</f>
        <v>5.84654057389587</v>
      </c>
      <c r="Y107" s="15" t="n">
        <f aca="false">Y105*Y106</f>
        <v>4.91991592472271</v>
      </c>
      <c r="Z107" s="15" t="n">
        <f aca="false">Z105*Z106</f>
        <v>4.14650413454799</v>
      </c>
      <c r="AA107" s="15" t="n">
        <f aca="false">AA105*AA106</f>
        <v>3.50583293747448</v>
      </c>
      <c r="AB107" s="15" t="n">
        <f aca="false">AB105*AB106</f>
        <v>2.96446194801537</v>
      </c>
      <c r="AC107" s="15" t="n">
        <f aca="false">AC105*AC106</f>
        <v>2.50700309006106</v>
      </c>
      <c r="AD107" s="15" t="n">
        <f aca="false">AD105*AD106</f>
        <v>2.11642944935597</v>
      </c>
      <c r="AE107" s="15" t="n">
        <f aca="false">AE105*AE106</f>
        <v>1.76713367226679</v>
      </c>
      <c r="AF107" s="15" t="n">
        <f aca="false">AF105*AF106</f>
        <v>1.46552919838111</v>
      </c>
      <c r="AG107" s="15" t="n">
        <f aca="false">AG105*AG106</f>
        <v>1.23116457385229</v>
      </c>
      <c r="AH107" s="15" t="n">
        <f aca="false">AH105*AH106</f>
        <v>1.03614549603286</v>
      </c>
      <c r="AI107" s="15" t="n">
        <f aca="false">AI105*AI106</f>
        <v>0.871714563214772</v>
      </c>
      <c r="AJ107" s="15" t="n">
        <f aca="false">AJ105*AJ106</f>
        <v>0.733105825345649</v>
      </c>
      <c r="AK107" s="15" t="n">
        <f aca="false">AK105*AK106</f>
        <v>0.616292648528494</v>
      </c>
      <c r="AL107" s="15" t="n">
        <f aca="false">AL105*AL106</f>
        <v>0.517873361925644</v>
      </c>
      <c r="AM107" s="15" t="n">
        <f aca="false">AM105*AM106</f>
        <v>0.423069675703412</v>
      </c>
      <c r="AN107" s="15" t="n">
        <f aca="false">AN105*AN106</f>
        <v>0.353676638513233</v>
      </c>
      <c r="AO107" s="15" t="n">
        <f aca="false">AO105*AO106</f>
        <v>0.29535106459962</v>
      </c>
      <c r="AP107" s="15" t="n">
        <f aca="false">AP105*AP106</f>
        <v>0.246354633670377</v>
      </c>
      <c r="AQ107" s="15" t="n">
        <f aca="false">AQ105*AQ106</f>
        <v>0.205219703760982</v>
      </c>
      <c r="AR107" s="15" t="n">
        <f aca="false">AR105*AR106</f>
        <v>0.17070737269455</v>
      </c>
    </row>
    <row r="108" customFormat="false" ht="15" hidden="false" customHeight="false" outlineLevel="0" collapsed="false">
      <c r="B108" s="3" t="s">
        <v>411</v>
      </c>
      <c r="C108" s="8" t="s">
        <v>270</v>
      </c>
      <c r="E108" s="15" t="n">
        <f aca="false">E107</f>
        <v>-14.3019388386839</v>
      </c>
      <c r="F108" s="15" t="n">
        <f aca="false">E108+F107</f>
        <v>-80.9566546596729</v>
      </c>
      <c r="G108" s="15" t="n">
        <f aca="false">F108+G107</f>
        <v>-169.845886405465</v>
      </c>
      <c r="H108" s="15" t="n">
        <f aca="false">G108+H107</f>
        <v>-227.385230463132</v>
      </c>
      <c r="I108" s="15" t="n">
        <f aca="false">H108+I107</f>
        <v>-226.389400184611</v>
      </c>
      <c r="J108" s="15" t="n">
        <f aca="false">I108+J107</f>
        <v>-211.252340430564</v>
      </c>
      <c r="K108" s="15" t="n">
        <f aca="false">J108+K107</f>
        <v>-185.074491529324</v>
      </c>
      <c r="L108" s="15" t="n">
        <f aca="false">K108+L107</f>
        <v>-161.11356771719</v>
      </c>
      <c r="M108" s="15" t="n">
        <f aca="false">L108+M107</f>
        <v>-139.182837563921</v>
      </c>
      <c r="N108" s="15" t="n">
        <f aca="false">M108+N107</f>
        <v>-120.179839151397</v>
      </c>
      <c r="O108" s="15" t="n">
        <f aca="false">N108+O107</f>
        <v>-107.878807962187</v>
      </c>
      <c r="P108" s="15" t="n">
        <f aca="false">O108+P107</f>
        <v>-98.4692412773586</v>
      </c>
      <c r="Q108" s="15" t="n">
        <f aca="false">P108+Q107</f>
        <v>-84.2640844335886</v>
      </c>
      <c r="R108" s="15" t="n">
        <f aca="false">Q108+R107</f>
        <v>-70.5236697837827</v>
      </c>
      <c r="S108" s="15" t="n">
        <f aca="false">R108+S107</f>
        <v>-57.9372824436569</v>
      </c>
      <c r="T108" s="15" t="n">
        <f aca="false">S108+T107</f>
        <v>-46.4086564118628</v>
      </c>
      <c r="U108" s="15" t="n">
        <f aca="false">T108+U107</f>
        <v>-35.8494911806056</v>
      </c>
      <c r="V108" s="15" t="n">
        <f aca="false">U108+V107</f>
        <v>-26.804526929332</v>
      </c>
      <c r="W108" s="15" t="n">
        <f aca="false">V108+W107</f>
        <v>-22.2107216530175</v>
      </c>
      <c r="X108" s="15" t="n">
        <f aca="false">W108+X107</f>
        <v>-16.3641810791217</v>
      </c>
      <c r="Y108" s="15" t="n">
        <f aca="false">X108+Y107</f>
        <v>-11.444265154399</v>
      </c>
      <c r="Z108" s="15" t="n">
        <f aca="false">Y108+Z107</f>
        <v>-7.29776101985098</v>
      </c>
      <c r="AA108" s="15" t="n">
        <f aca="false">Z108+AA107</f>
        <v>-3.7919280823765</v>
      </c>
      <c r="AB108" s="15" t="n">
        <f aca="false">AA108+AB107</f>
        <v>-0.827466134361131</v>
      </c>
      <c r="AC108" s="15" t="n">
        <f aca="false">AB108+AC107</f>
        <v>1.67953695569993</v>
      </c>
      <c r="AD108" s="15" t="n">
        <f aca="false">AC108+AD107</f>
        <v>3.79596640505589</v>
      </c>
      <c r="AE108" s="15" t="n">
        <f aca="false">AD108+AE107</f>
        <v>5.56310007732268</v>
      </c>
      <c r="AF108" s="15" t="n">
        <f aca="false">AE108+AF107</f>
        <v>7.02862927570379</v>
      </c>
      <c r="AG108" s="15" t="n">
        <f aca="false">AF108+AG107</f>
        <v>8.25979384955608</v>
      </c>
      <c r="AH108" s="15" t="n">
        <f aca="false">AG108+AH107</f>
        <v>9.29593934558894</v>
      </c>
      <c r="AI108" s="15" t="n">
        <f aca="false">AH108+AI107</f>
        <v>10.1676539088037</v>
      </c>
      <c r="AJ108" s="15" t="n">
        <f aca="false">AI108+AJ107</f>
        <v>10.9007597341494</v>
      </c>
      <c r="AK108" s="15" t="n">
        <f aca="false">AJ108+AK107</f>
        <v>11.5170523826779</v>
      </c>
      <c r="AL108" s="15" t="n">
        <f aca="false">AK108+AL107</f>
        <v>12.0349257446035</v>
      </c>
      <c r="AM108" s="15" t="n">
        <f aca="false">AL108+AM107</f>
        <v>12.4579954203069</v>
      </c>
      <c r="AN108" s="15" t="n">
        <f aca="false">AM108+AN107</f>
        <v>12.8116720588201</v>
      </c>
      <c r="AO108" s="15" t="n">
        <f aca="false">AN108+AO107</f>
        <v>13.1070231234198</v>
      </c>
      <c r="AP108" s="15" t="n">
        <f aca="false">AO108+AP107</f>
        <v>13.3533777570901</v>
      </c>
      <c r="AQ108" s="15" t="n">
        <f aca="false">AP108+AQ107</f>
        <v>13.5585974608511</v>
      </c>
      <c r="AR108" s="15" t="n">
        <f aca="false">AQ108+AR107</f>
        <v>13.7293048335457</v>
      </c>
    </row>
    <row r="109" customFormat="false" ht="15" hidden="false" customHeight="false" outlineLevel="0" collapsed="false">
      <c r="B109" s="8" t="s">
        <v>412</v>
      </c>
      <c r="C109" s="8" t="s">
        <v>264</v>
      </c>
      <c r="E109" s="20" t="n">
        <v>0</v>
      </c>
      <c r="F109" s="40" t="n">
        <f aca="false">IF(OR(E109=1,AND(F108&gt;0,F46&gt;2031)),1,0)</f>
        <v>0</v>
      </c>
      <c r="G109" s="40" t="n">
        <f aca="false">IF(OR(F109=1,AND(G108&gt;0,G46&gt;2031)),1,0)</f>
        <v>0</v>
      </c>
      <c r="H109" s="40" t="n">
        <f aca="false">IF(OR(G109=1,AND(H108&gt;0,H46&gt;2031)),1,0)</f>
        <v>0</v>
      </c>
      <c r="I109" s="40" t="n">
        <f aca="false">IF(OR(H109=1,AND(I108&gt;0,I46&gt;2031)),1,0)</f>
        <v>0</v>
      </c>
      <c r="J109" s="40" t="n">
        <f aca="false">IF(OR(I109=1,AND(J108&gt;0,J46&gt;2031)),1,0)</f>
        <v>0</v>
      </c>
      <c r="K109" s="40" t="n">
        <f aca="false">IF(OR(J109=1,AND(K108&gt;0,K46&gt;2031)),1,0)</f>
        <v>0</v>
      </c>
      <c r="L109" s="40" t="n">
        <f aca="false">IF(OR(K109=1,AND(L108&gt;0,L46&gt;2031)),1,0)</f>
        <v>0</v>
      </c>
      <c r="M109" s="40" t="n">
        <f aca="false">IF(OR(L109=1,AND(M108&gt;0,M46&gt;2031)),1,0)</f>
        <v>0</v>
      </c>
      <c r="N109" s="40" t="n">
        <f aca="false">IF(OR(M109=1,AND(N108&gt;0,N46&gt;2031)),1,0)</f>
        <v>0</v>
      </c>
      <c r="O109" s="40" t="n">
        <f aca="false">IF(OR(N109=1,AND(O108&gt;0,O46&gt;2031)),1,0)</f>
        <v>0</v>
      </c>
      <c r="P109" s="40" t="n">
        <f aca="false">IF(OR(O109=1,AND(P108&gt;0,P46&gt;2031)),1,0)</f>
        <v>0</v>
      </c>
      <c r="Q109" s="40" t="n">
        <f aca="false">IF(OR(P109=1,AND(Q108&gt;0,Q46&gt;2031)),1,0)</f>
        <v>0</v>
      </c>
      <c r="R109" s="40" t="n">
        <f aca="false">IF(OR(Q109=1,AND(R108&gt;0,R46&gt;2031)),1,0)</f>
        <v>0</v>
      </c>
      <c r="S109" s="40" t="n">
        <f aca="false">IF(OR(R109=1,AND(S108&gt;0,S46&gt;2031)),1,0)</f>
        <v>0</v>
      </c>
      <c r="T109" s="40" t="n">
        <f aca="false">IF(OR(S109=1,AND(T108&gt;0,T46&gt;2031)),1,0)</f>
        <v>0</v>
      </c>
      <c r="U109" s="40" t="n">
        <f aca="false">IF(OR(T109=1,AND(U108&gt;0,U46&gt;2031)),1,0)</f>
        <v>0</v>
      </c>
      <c r="V109" s="40" t="n">
        <f aca="false">IF(OR(U109=1,AND(V108&gt;0,V46&gt;2031)),1,0)</f>
        <v>0</v>
      </c>
      <c r="W109" s="40" t="n">
        <f aca="false">IF(OR(V109=1,AND(W108&gt;0,W46&gt;2031)),1,0)</f>
        <v>0</v>
      </c>
      <c r="X109" s="40" t="n">
        <f aca="false">IF(OR(W109=1,AND(X108&gt;0,X46&gt;2031)),1,0)</f>
        <v>0</v>
      </c>
      <c r="Y109" s="40" t="n">
        <f aca="false">IF(OR(X109=1,AND(Y108&gt;0,Y46&gt;2031)),1,0)</f>
        <v>0</v>
      </c>
      <c r="Z109" s="40" t="n">
        <f aca="false">IF(OR(Y109=1,AND(Z108&gt;0,Z46&gt;2031)),1,0)</f>
        <v>0</v>
      </c>
      <c r="AA109" s="40" t="n">
        <f aca="false">IF(OR(Z109=1,AND(AA108&gt;0,AA46&gt;2031)),1,0)</f>
        <v>0</v>
      </c>
      <c r="AB109" s="40" t="n">
        <f aca="false">IF(OR(AA109=1,AND(AB108&gt;0,AB46&gt;2031)),1,0)</f>
        <v>0</v>
      </c>
      <c r="AC109" s="40" t="n">
        <f aca="false">IF(OR(AB109=1,AND(AC108&gt;0,AC46&gt;2031)),1,0)</f>
        <v>1</v>
      </c>
      <c r="AD109" s="40" t="n">
        <f aca="false">IF(OR(AC109=1,AND(AD108&gt;0,AD46&gt;2031)),1,0)</f>
        <v>1</v>
      </c>
      <c r="AE109" s="40" t="n">
        <f aca="false">IF(OR(AD109=1,AND(AE108&gt;0,AE46&gt;2031)),1,0)</f>
        <v>1</v>
      </c>
      <c r="AF109" s="40" t="n">
        <f aca="false">IF(OR(AE109=1,AND(AF108&gt;0,AF46&gt;2031)),1,0)</f>
        <v>1</v>
      </c>
      <c r="AG109" s="40" t="n">
        <f aca="false">IF(OR(AF109=1,AND(AG108&gt;0,AG46&gt;2031)),1,0)</f>
        <v>1</v>
      </c>
      <c r="AH109" s="40" t="n">
        <f aca="false">IF(OR(AG109=1,AND(AH108&gt;0,AH46&gt;2031)),1,0)</f>
        <v>1</v>
      </c>
      <c r="AI109" s="40" t="n">
        <f aca="false">IF(OR(AH109=1,AND(AI108&gt;0,AI46&gt;2031)),1,0)</f>
        <v>1</v>
      </c>
      <c r="AJ109" s="40" t="n">
        <f aca="false">IF(OR(AI109=1,AND(AJ108&gt;0,AJ46&gt;2031)),1,0)</f>
        <v>1</v>
      </c>
      <c r="AK109" s="40" t="n">
        <f aca="false">IF(OR(AJ109=1,AND(AK108&gt;0,AK46&gt;2031)),1,0)</f>
        <v>1</v>
      </c>
      <c r="AL109" s="40" t="n">
        <f aca="false">IF(OR(AK109=1,AND(AL108&gt;0,AL46&gt;2031)),1,0)</f>
        <v>1</v>
      </c>
      <c r="AM109" s="40" t="n">
        <f aca="false">IF(OR(AL109=1,AND(AM108&gt;0,AM46&gt;2031)),1,0)</f>
        <v>1</v>
      </c>
      <c r="AN109" s="40" t="n">
        <f aca="false">IF(OR(AM109=1,AND(AN108&gt;0,AN46&gt;2031)),1,0)</f>
        <v>1</v>
      </c>
      <c r="AO109" s="40" t="n">
        <f aca="false">IF(OR(AN109=1,AND(AO108&gt;0,AO46&gt;2031)),1,0)</f>
        <v>1</v>
      </c>
      <c r="AP109" s="40" t="n">
        <f aca="false">IF(OR(AO109=1,AND(AP108&gt;0,AP46&gt;2031)),1,0)</f>
        <v>1</v>
      </c>
      <c r="AQ109" s="40" t="n">
        <f aca="false">IF(OR(AP109=1,AND(AQ108&gt;0,AQ46&gt;2031)),1,0)</f>
        <v>1</v>
      </c>
      <c r="AR109" s="40" t="n">
        <f aca="false">IF(OR(AQ109=1,AND(AR108&gt;0,AR46&gt;2031)),1,0)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1" t="s">
        <v>427</v>
      </c>
    </row>
    <row r="3" customFormat="false" ht="15" hidden="false" customHeight="false" outlineLevel="0" collapsed="false">
      <c r="B3" s="2" t="s">
        <v>428</v>
      </c>
    </row>
    <row r="5" customFormat="false" ht="15" hidden="false" customHeight="false" outlineLevel="0" collapsed="false">
      <c r="B5" s="6" t="s">
        <v>429</v>
      </c>
      <c r="C5" s="6" t="s">
        <v>430</v>
      </c>
      <c r="D5" s="6" t="s">
        <v>431</v>
      </c>
      <c r="E5" s="6" t="s">
        <v>432</v>
      </c>
    </row>
    <row r="6" customFormat="false" ht="15" hidden="false" customHeight="false" outlineLevel="0" collapsed="false">
      <c r="B6" s="8" t="s">
        <v>433</v>
      </c>
      <c r="C6" s="15"/>
      <c r="D6" s="15" t="n">
        <v>-29.98</v>
      </c>
      <c r="E6" s="56" t="s">
        <v>434</v>
      </c>
    </row>
    <row r="7" customFormat="false" ht="15" hidden="false" customHeight="false" outlineLevel="0" collapsed="false">
      <c r="B7" s="8" t="s">
        <v>435</v>
      </c>
      <c r="C7" s="15" t="n">
        <v>-0.64</v>
      </c>
      <c r="D7" s="15" t="n">
        <v>-30.61</v>
      </c>
      <c r="E7" s="56" t="s">
        <v>436</v>
      </c>
    </row>
    <row r="8" customFormat="false" ht="15" hidden="false" customHeight="false" outlineLevel="0" collapsed="false">
      <c r="B8" s="8" t="s">
        <v>437</v>
      </c>
      <c r="C8" s="15" t="n">
        <v>18.05</v>
      </c>
      <c r="D8" s="15" t="n">
        <v>-12.57</v>
      </c>
      <c r="E8" s="56" t="s">
        <v>438</v>
      </c>
    </row>
    <row r="9" customFormat="false" ht="15" hidden="false" customHeight="false" outlineLevel="0" collapsed="false">
      <c r="B9" s="8" t="s">
        <v>439</v>
      </c>
      <c r="C9" s="15" t="n">
        <v>-2.08</v>
      </c>
      <c r="D9" s="15" t="n">
        <v>-14.65</v>
      </c>
      <c r="E9" s="56" t="s">
        <v>440</v>
      </c>
    </row>
    <row r="10" customFormat="false" ht="15" hidden="false" customHeight="false" outlineLevel="0" collapsed="false">
      <c r="B10" s="8" t="s">
        <v>441</v>
      </c>
      <c r="C10" s="15" t="n">
        <v>16.04</v>
      </c>
      <c r="D10" s="15" t="n">
        <v>1.39</v>
      </c>
      <c r="E10" s="56" t="s">
        <v>442</v>
      </c>
    </row>
    <row r="11" customFormat="false" ht="15" hidden="false" customHeight="false" outlineLevel="0" collapsed="false">
      <c r="B11" s="8" t="s">
        <v>443</v>
      </c>
      <c r="C11" s="15" t="n">
        <v>7.41</v>
      </c>
      <c r="D11" s="15" t="n">
        <v>8.81</v>
      </c>
      <c r="E11" s="56" t="s">
        <v>444</v>
      </c>
    </row>
    <row r="12" customFormat="false" ht="15" hidden="false" customHeight="false" outlineLevel="0" collapsed="false">
      <c r="B12" s="8" t="s">
        <v>445</v>
      </c>
      <c r="C12" s="15" t="n">
        <v>8.78</v>
      </c>
      <c r="D12" s="15" t="n">
        <v>17.59</v>
      </c>
      <c r="E12" s="56" t="s">
        <v>117</v>
      </c>
    </row>
    <row r="13" customFormat="false" ht="15" hidden="false" customHeight="false" outlineLevel="0" collapsed="false">
      <c r="B13" s="8" t="s">
        <v>446</v>
      </c>
      <c r="C13" s="15" t="n">
        <v>4.92</v>
      </c>
      <c r="D13" s="15" t="n">
        <v>22.51</v>
      </c>
      <c r="E13" s="56" t="s">
        <v>447</v>
      </c>
    </row>
    <row r="14" customFormat="false" ht="15" hidden="false" customHeight="false" outlineLevel="0" collapsed="false">
      <c r="B14" s="3" t="s">
        <v>448</v>
      </c>
      <c r="D14" s="14" t="n">
        <f aca="false">Расчёт_Наш!C5</f>
        <v>22.5117962619646</v>
      </c>
    </row>
    <row r="16" customFormat="false" ht="15" hidden="false" customHeight="false" outlineLevel="0" collapsed="false">
      <c r="B16" s="3" t="s">
        <v>449</v>
      </c>
    </row>
    <row r="17" customFormat="false" ht="15" hidden="false" customHeight="false" outlineLevel="0" collapsed="false">
      <c r="B17" s="6" t="s">
        <v>450</v>
      </c>
      <c r="C17" s="6" t="s">
        <v>451</v>
      </c>
      <c r="D17" s="6" t="s">
        <v>452</v>
      </c>
      <c r="E17" s="6" t="s">
        <v>453</v>
      </c>
    </row>
    <row r="18" customFormat="false" ht="15" hidden="false" customHeight="false" outlineLevel="0" collapsed="false">
      <c r="B18" s="40" t="n">
        <v>8</v>
      </c>
      <c r="C18" s="15" t="n">
        <v>12.99</v>
      </c>
      <c r="D18" s="29" t="n">
        <v>0.1066</v>
      </c>
      <c r="E18" s="57" t="s">
        <v>454</v>
      </c>
    </row>
    <row r="19" customFormat="false" ht="15" hidden="false" customHeight="false" outlineLevel="0" collapsed="false">
      <c r="B19" s="40" t="n">
        <v>9</v>
      </c>
      <c r="C19" s="15" t="n">
        <v>16.39</v>
      </c>
      <c r="D19" s="29" t="n">
        <v>0.1081</v>
      </c>
      <c r="E19" s="57" t="s">
        <v>455</v>
      </c>
    </row>
    <row r="20" customFormat="false" ht="15" hidden="false" customHeight="false" outlineLevel="0" collapsed="false">
      <c r="B20" s="40" t="n">
        <v>10</v>
      </c>
      <c r="C20" s="15" t="n">
        <v>19.47</v>
      </c>
      <c r="D20" s="29" t="n">
        <v>0.1094</v>
      </c>
      <c r="E20" s="57" t="s">
        <v>456</v>
      </c>
    </row>
    <row r="21" customFormat="false" ht="15" hidden="false" customHeight="false" outlineLevel="0" collapsed="false">
      <c r="B21" s="40" t="n">
        <v>11</v>
      </c>
      <c r="C21" s="15" t="n">
        <v>21.1</v>
      </c>
      <c r="D21" s="29" t="n">
        <v>0.11</v>
      </c>
      <c r="E21" s="57" t="s">
        <v>457</v>
      </c>
    </row>
    <row r="22" customFormat="false" ht="15" hidden="false" customHeight="false" outlineLevel="0" collapsed="false">
      <c r="B22" s="40" t="n">
        <v>12</v>
      </c>
      <c r="C22" s="15" t="n">
        <v>22.51</v>
      </c>
      <c r="D22" s="29" t="n">
        <v>0.1104</v>
      </c>
      <c r="E22" s="57" t="s">
        <v>458</v>
      </c>
    </row>
    <row r="23" customFormat="false" ht="15" hidden="false" customHeight="false" outlineLevel="0" collapsed="false">
      <c r="B23" s="40" t="n">
        <v>13</v>
      </c>
      <c r="C23" s="15" t="n">
        <v>22.94</v>
      </c>
      <c r="D23" s="29" t="n">
        <v>0.1105</v>
      </c>
      <c r="E23" s="57" t="s">
        <v>459</v>
      </c>
    </row>
    <row r="24" customFormat="false" ht="15" hidden="false" customHeight="false" outlineLevel="0" collapsed="false">
      <c r="B24" s="40" t="n">
        <v>14</v>
      </c>
      <c r="C24" s="15" t="n">
        <v>22.28</v>
      </c>
      <c r="D24" s="29" t="n">
        <v>0.1101</v>
      </c>
      <c r="E24" s="57" t="s">
        <v>460</v>
      </c>
    </row>
    <row r="26" customFormat="false" ht="15" hidden="false" customHeight="false" outlineLevel="0" collapsed="false">
      <c r="B26" s="2" t="s">
        <v>461</v>
      </c>
    </row>
    <row r="28" customFormat="false" ht="15" hidden="false" customHeight="false" outlineLevel="0" collapsed="false">
      <c r="B28" s="3" t="s">
        <v>462</v>
      </c>
    </row>
    <row r="29" customFormat="false" ht="15" hidden="false" customHeight="false" outlineLevel="0" collapsed="false">
      <c r="B29" s="6" t="s">
        <v>463</v>
      </c>
      <c r="C29" s="6" t="s">
        <v>464</v>
      </c>
      <c r="D29" s="6" t="s">
        <v>465</v>
      </c>
      <c r="E29" s="6" t="s">
        <v>466</v>
      </c>
    </row>
    <row r="30" customFormat="false" ht="15" hidden="false" customHeight="false" outlineLevel="0" collapsed="false">
      <c r="B30" s="8" t="s">
        <v>467</v>
      </c>
      <c r="C30" s="15" t="n">
        <v>-27.93</v>
      </c>
      <c r="D30" s="15" t="n">
        <v>72.95</v>
      </c>
      <c r="E30" s="15" t="n">
        <f aca="false">D30-C30</f>
        <v>100.88</v>
      </c>
    </row>
    <row r="31" customFormat="false" ht="15" hidden="false" customHeight="false" outlineLevel="0" collapsed="false">
      <c r="B31" s="8" t="s">
        <v>468</v>
      </c>
      <c r="C31" s="15" t="n">
        <v>-32.38</v>
      </c>
      <c r="D31" s="15" t="n">
        <v>77.21</v>
      </c>
      <c r="E31" s="15" t="n">
        <f aca="false">D31-C31</f>
        <v>109.59</v>
      </c>
    </row>
    <row r="32" customFormat="false" ht="15" hidden="false" customHeight="false" outlineLevel="0" collapsed="false">
      <c r="B32" s="8" t="s">
        <v>469</v>
      </c>
      <c r="C32" s="15" t="n">
        <v>-1.55</v>
      </c>
      <c r="D32" s="15" t="n">
        <v>36.44</v>
      </c>
      <c r="E32" s="15" t="n">
        <f aca="false">D32-C32</f>
        <v>37.99</v>
      </c>
    </row>
    <row r="33" customFormat="false" ht="15" hidden="false" customHeight="false" outlineLevel="0" collapsed="false">
      <c r="B33" s="8" t="s">
        <v>470</v>
      </c>
      <c r="C33" s="15" t="n">
        <v>-17.35</v>
      </c>
      <c r="D33" s="15" t="n">
        <v>79.06</v>
      </c>
      <c r="E33" s="15" t="n">
        <f aca="false">D33-C33</f>
        <v>96.41</v>
      </c>
    </row>
    <row r="34" customFormat="false" ht="15" hidden="false" customHeight="false" outlineLevel="0" collapsed="false">
      <c r="B34" s="8" t="s">
        <v>471</v>
      </c>
      <c r="C34" s="15" t="n">
        <v>-5.9</v>
      </c>
      <c r="D34" s="15" t="n">
        <v>50.93</v>
      </c>
      <c r="E34" s="15" t="n">
        <f aca="false">D34-C34</f>
        <v>56.83</v>
      </c>
    </row>
    <row r="35" customFormat="false" ht="15" hidden="false" customHeight="false" outlineLevel="0" collapsed="false">
      <c r="B35" s="8" t="s">
        <v>472</v>
      </c>
      <c r="C35" s="15" t="n">
        <v>9.28</v>
      </c>
      <c r="D35" s="15" t="n">
        <v>35.75</v>
      </c>
      <c r="E35" s="15" t="n">
        <f aca="false">D35-C35</f>
        <v>26.47</v>
      </c>
    </row>
    <row r="36" customFormat="false" ht="15" hidden="false" customHeight="false" outlineLevel="0" collapsed="false">
      <c r="B36" s="8" t="s">
        <v>473</v>
      </c>
      <c r="C36" s="15" t="n">
        <v>1.32</v>
      </c>
      <c r="D36" s="15" t="n">
        <v>43.7</v>
      </c>
      <c r="E36" s="15" t="n">
        <f aca="false">D36-C36</f>
        <v>42.38</v>
      </c>
    </row>
    <row r="37" customFormat="false" ht="15" hidden="false" customHeight="false" outlineLevel="0" collapsed="false">
      <c r="B37" s="8" t="s">
        <v>474</v>
      </c>
      <c r="C37" s="15" t="n">
        <v>18.95</v>
      </c>
      <c r="D37" s="15" t="n">
        <v>26.08</v>
      </c>
      <c r="E37" s="15" t="n">
        <f aca="false">D37-C37</f>
        <v>7.13</v>
      </c>
    </row>
    <row r="39" customFormat="false" ht="15" hidden="false" customHeight="false" outlineLevel="0" collapsed="false">
      <c r="B39" s="3" t="s">
        <v>475</v>
      </c>
    </row>
    <row r="40" customFormat="false" ht="15" hidden="false" customHeight="false" outlineLevel="0" collapsed="false">
      <c r="B40" s="6" t="s">
        <v>51</v>
      </c>
      <c r="C40" s="6" t="s">
        <v>476</v>
      </c>
      <c r="D40" s="6" t="s">
        <v>477</v>
      </c>
      <c r="E40" s="6" t="s">
        <v>478</v>
      </c>
    </row>
    <row r="41" customFormat="false" ht="15" hidden="false" customHeight="false" outlineLevel="0" collapsed="false">
      <c r="B41" s="8" t="s">
        <v>479</v>
      </c>
      <c r="C41" s="58" t="n">
        <v>4285.0445</v>
      </c>
      <c r="D41" s="59" t="n">
        <v>4705</v>
      </c>
      <c r="E41" s="60" t="n">
        <f aca="false">C41/D41-1</f>
        <v>-0.0892572794899044</v>
      </c>
    </row>
    <row r="42" customFormat="false" ht="15" hidden="false" customHeight="false" outlineLevel="0" collapsed="false">
      <c r="B42" s="8" t="s">
        <v>480</v>
      </c>
      <c r="C42" s="15" t="n">
        <v>0.5596</v>
      </c>
      <c r="D42" s="27" t="n">
        <v>0.75</v>
      </c>
      <c r="E42" s="60" t="n">
        <f aca="false">C42/D42-1</f>
        <v>-0.253866666666667</v>
      </c>
    </row>
    <row r="43" customFormat="false" ht="15" hidden="false" customHeight="false" outlineLevel="0" collapsed="false">
      <c r="B43" s="8" t="s">
        <v>481</v>
      </c>
      <c r="C43" s="15" t="n">
        <v>2.0103</v>
      </c>
      <c r="D43" s="27" t="n">
        <v>1.5</v>
      </c>
      <c r="E43" s="60" t="n">
        <f aca="false">C43/D43-1</f>
        <v>0.3402</v>
      </c>
    </row>
    <row r="44" customFormat="false" ht="15" hidden="false" customHeight="false" outlineLevel="0" collapsed="false">
      <c r="B44" s="8" t="s">
        <v>482</v>
      </c>
      <c r="C44" s="29" t="n">
        <v>0.1104</v>
      </c>
      <c r="D44" s="61" t="n">
        <v>0.1</v>
      </c>
      <c r="E44" s="60" t="n">
        <f aca="false">C44/D44-1</f>
        <v>0.104</v>
      </c>
    </row>
    <row r="45" customFormat="false" ht="15" hidden="false" customHeight="false" outlineLevel="0" collapsed="false">
      <c r="B45" s="8" t="s">
        <v>279</v>
      </c>
      <c r="C45" s="15" t="n">
        <v>1.082</v>
      </c>
      <c r="D45" s="27" t="n">
        <v>1</v>
      </c>
      <c r="E45" s="60" t="n">
        <f aca="false">C45/D45-1</f>
        <v>0.0820000000000001</v>
      </c>
    </row>
    <row r="46" customFormat="false" ht="15" hidden="false" customHeight="false" outlineLevel="0" collapsed="false">
      <c r="B46" s="8" t="s">
        <v>483</v>
      </c>
      <c r="C46" s="41" t="n">
        <v>49.063</v>
      </c>
      <c r="D46" s="62" t="n">
        <v>65</v>
      </c>
      <c r="E46" s="60" t="n">
        <f aca="false">C46/D46-1</f>
        <v>-0.245184615384615</v>
      </c>
    </row>
    <row r="49" customFormat="false" ht="15" hidden="false" customHeight="false" outlineLevel="0" collapsed="false">
      <c r="B49" s="3" t="s">
        <v>484</v>
      </c>
      <c r="C49" s="15" t="n">
        <f aca="false">Расчёт_Наш!C5-Расчёт_Г!C5</f>
        <v>5.61871343598661</v>
      </c>
    </row>
    <row r="50" customFormat="false" ht="15" hidden="false" customHeight="false" outlineLevel="0" collapsed="false">
      <c r="B50" s="8" t="s">
        <v>485</v>
      </c>
      <c r="C50" s="15" t="n">
        <f aca="false">Расчёт_Наш_цены!C5-Расчёт_Г!C5</f>
        <v>0.695300273890112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1" t="s">
        <v>486</v>
      </c>
    </row>
    <row r="3" customFormat="false" ht="15" hidden="false" customHeight="false" outlineLevel="0" collapsed="false">
      <c r="B3" s="2" t="s">
        <v>487</v>
      </c>
    </row>
    <row r="5" customFormat="false" ht="15" hidden="false" customHeight="false" outlineLevel="0" collapsed="false">
      <c r="B5" s="6" t="s">
        <v>488</v>
      </c>
      <c r="C5" s="6" t="s">
        <v>489</v>
      </c>
    </row>
    <row r="6" customFormat="false" ht="15" hidden="false" customHeight="false" outlineLevel="0" collapsed="false">
      <c r="B6" s="8" t="s">
        <v>490</v>
      </c>
      <c r="C6" s="63" t="s">
        <v>491</v>
      </c>
    </row>
    <row r="7" customFormat="false" ht="15" hidden="false" customHeight="false" outlineLevel="0" collapsed="false">
      <c r="B7" s="8" t="s">
        <v>492</v>
      </c>
      <c r="C7" s="63" t="s">
        <v>493</v>
      </c>
    </row>
    <row r="8" customFormat="false" ht="15" hidden="false" customHeight="false" outlineLevel="0" collapsed="false">
      <c r="B8" s="8" t="s">
        <v>494</v>
      </c>
      <c r="C8" s="63" t="s">
        <v>495</v>
      </c>
    </row>
    <row r="9" customFormat="false" ht="15" hidden="false" customHeight="false" outlineLevel="0" collapsed="false">
      <c r="B9" s="8" t="s">
        <v>496</v>
      </c>
      <c r="C9" s="63" t="s">
        <v>497</v>
      </c>
    </row>
    <row r="10" customFormat="false" ht="15" hidden="false" customHeight="false" outlineLevel="0" collapsed="false">
      <c r="B10" s="8" t="s">
        <v>498</v>
      </c>
      <c r="C10" s="63" t="s">
        <v>499</v>
      </c>
    </row>
    <row r="11" customFormat="false" ht="15" hidden="false" customHeight="false" outlineLevel="0" collapsed="false">
      <c r="B11" s="8" t="s">
        <v>500</v>
      </c>
      <c r="C11" s="63" t="s">
        <v>501</v>
      </c>
    </row>
    <row r="12" customFormat="false" ht="15" hidden="false" customHeight="false" outlineLevel="0" collapsed="false">
      <c r="B12" s="8" t="s">
        <v>502</v>
      </c>
      <c r="C12" s="63" t="s">
        <v>503</v>
      </c>
    </row>
    <row r="13" customFormat="false" ht="15" hidden="false" customHeight="false" outlineLevel="0" collapsed="false">
      <c r="B13" s="8" t="s">
        <v>504</v>
      </c>
      <c r="C13" s="63" t="s">
        <v>505</v>
      </c>
    </row>
    <row r="14" customFormat="false" ht="15" hidden="false" customHeight="false" outlineLevel="0" collapsed="false">
      <c r="B14" s="8" t="s">
        <v>506</v>
      </c>
      <c r="C14" s="63" t="s">
        <v>507</v>
      </c>
    </row>
    <row r="15" customFormat="false" ht="15" hidden="false" customHeight="false" outlineLevel="0" collapsed="false">
      <c r="B15" s="8" t="s">
        <v>508</v>
      </c>
      <c r="C15" s="63" t="s">
        <v>509</v>
      </c>
    </row>
    <row r="16" customFormat="false" ht="15" hidden="false" customHeight="false" outlineLevel="0" collapsed="false">
      <c r="B16" s="8" t="s">
        <v>510</v>
      </c>
      <c r="C16" s="63" t="s">
        <v>511</v>
      </c>
    </row>
    <row r="17" customFormat="false" ht="15" hidden="false" customHeight="false" outlineLevel="0" collapsed="false">
      <c r="B17" s="8" t="s">
        <v>512</v>
      </c>
      <c r="C17" s="63" t="s">
        <v>513</v>
      </c>
    </row>
    <row r="18" customFormat="false" ht="15" hidden="false" customHeight="false" outlineLevel="0" collapsed="false">
      <c r="B18" s="8" t="s">
        <v>514</v>
      </c>
      <c r="C18" s="63" t="s">
        <v>515</v>
      </c>
    </row>
    <row r="19" customFormat="false" ht="15" hidden="false" customHeight="false" outlineLevel="0" collapsed="false">
      <c r="B19" s="8" t="s">
        <v>516</v>
      </c>
      <c r="C19" s="63" t="s">
        <v>517</v>
      </c>
    </row>
    <row r="20" customFormat="false" ht="15" hidden="false" customHeight="false" outlineLevel="0" collapsed="false">
      <c r="B20" s="8" t="s">
        <v>518</v>
      </c>
      <c r="C20" s="63" t="s">
        <v>519</v>
      </c>
    </row>
    <row r="21" customFormat="false" ht="15" hidden="false" customHeight="false" outlineLevel="0" collapsed="false">
      <c r="B21" s="8" t="s">
        <v>520</v>
      </c>
      <c r="C21" s="63" t="s">
        <v>521</v>
      </c>
    </row>
    <row r="22" customFormat="false" ht="15" hidden="false" customHeight="false" outlineLevel="0" collapsed="false">
      <c r="B22" s="8" t="s">
        <v>522</v>
      </c>
      <c r="C22" s="63" t="s">
        <v>523</v>
      </c>
    </row>
  </sheetData>
  <hyperlinks>
    <hyperlink ref="C6" r:id="rId1" display="https://pravo.ppt.ru/prikaz/fas/n-1213-25-326387"/>
    <hyperlink ref="C7" r:id="rId2" display="https://www.interfax.ru/business/1056714"/>
    <hyperlink ref="C8" r:id="rId3" display="https://pravo.ppt.ru/kodeks/nk/st-342.4"/>
    <hyperlink ref="C9" r:id="rId4" display="https://oilcapital.ru/news/2026-10-22/minenergo-na-toplivnom-rynke-otmechen-rost-proizvodstva-nachali-formirovatsya-zapasy-5714138"/>
    <hyperlink ref="C10" r:id="rId5" display="https://ru.themoscowtimes.com/2026/10/06/dempfer-dlya-aviakerosina-v-rf-vyros-v-15-raza-v-senavg-raschyot-reyter-a207929"/>
    <hyperlink ref="C11" r:id="rId6" display="https://sever-press.ru/narrative/intervju/tsentralizovannyj-zavoz-topliva-2025-skolko-i-kogda-dostavjat-v-otdalennye-poselki-janao-v-navigatsiju/"/>
    <hyperlink ref="C12" r:id="rId7" display="https://ru.infratechnology.ru/technology/"/>
    <hyperlink ref="C13" r:id="rId8" display="https://www.nalog.gov.ru/new2026/"/>
    <hyperlink ref="C14" r:id="rId9" display="https://index.minfin.com.ua/markets/oil/2026-10/"/>
    <hyperlink ref="C15" r:id="rId10" display="http://elibrary.sgu.ru/VKR/2020/21-05-02_006.pdf"/>
    <hyperlink ref="C16" r:id="rId11" display="https://rosmineral.com/projects/gazovye-mestorozhdeniya/orenburgskoe-gazokondensatnoe-mestorozhdenie/"/>
    <hyperlink ref="C17" r:id="rId12" display="https://vsluh.ru/novosti/tek/mal-novatek-da-dorog_44791/"/>
    <hyperlink ref="C18" r:id="rId13" display="https://neftegas.info/news/article/20669"/>
    <hyperlink ref="C19" r:id="rId14" display="https://goarctic.ru/kultura/uchenye-gotovyatsya-k-potepleniyu-izuchayut-iskusstvennuyu-zamorozku-grunta-chtoby-prodlit-rabotu-av/"/>
    <hyperlink ref="C20" r:id="rId15" display="https://mintrans.gov.ru/file/535766"/>
    <hyperlink ref="C21" r:id="rId16" display="https://energybase.ru/pipeline/bovanenkovo-ukhta"/>
    <hyperlink ref="C22" r:id="rId17" display="https://www.npktrans.ru/media/novosti/yamaltransstroi-rasshirit-zhd-liniyu-dlya-vyvoza-uglevodorodov-s-bovanenkovskogo-mestorozhdeniya-k-portu-ust-lug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2026-10-25T05:35:26Z</dcterms:created>
  <dc:creator>openpyxl</dc:creator>
  <dc:description/>
  <dc:language>en-US</dc:language>
  <cp:lastModifiedBy/>
  <dcterms:modified xsi:type="dcterms:W3CDTF">2026-10-25T05:35:29Z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